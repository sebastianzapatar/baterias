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20a43437e737b22/Maestria/4_Datos/"/>
    </mc:Choice>
  </mc:AlternateContent>
  <xr:revisionPtr revIDLastSave="0" documentId="8_{4D96FD6B-3EAF-471A-B803-BD69E637EAFD}" xr6:coauthVersionLast="47" xr6:coauthVersionMax="47" xr10:uidLastSave="{00000000-0000-0000-0000-000000000000}"/>
  <bookViews>
    <workbookView xWindow="-110" yWindow="-110" windowWidth="19420" windowHeight="11500" tabRatio="500" activeTab="6" xr2:uid="{00000000-000D-0000-FFFF-FFFF00000000}"/>
  </bookViews>
  <sheets>
    <sheet name="Leeme" sheetId="1" r:id="rId1"/>
    <sheet name="Suministro_BESS" sheetId="2" r:id="rId2"/>
    <sheet name="Parametros_BESS" sheetId="3" r:id="rId3"/>
    <sheet name="Parametros_PV" sheetId="4" r:id="rId4"/>
    <sheet name="Trayectorias" sheetId="5" r:id="rId5"/>
    <sheet name="Curva_BESS" sheetId="6" r:id="rId6"/>
    <sheet name="Curva_PV" sheetId="7" r:id="rId7"/>
    <sheet name="Curva_Hibrido" sheetId="8" r:id="rId8"/>
    <sheet name="Validacio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 i="9" l="1"/>
  <c r="D9" i="9"/>
  <c r="E8" i="9"/>
  <c r="D8" i="9"/>
  <c r="C17" i="8"/>
  <c r="C18" i="8" s="1"/>
  <c r="C14" i="8"/>
  <c r="C13" i="8"/>
  <c r="C33" i="7"/>
  <c r="D32" i="7"/>
  <c r="C32" i="7"/>
  <c r="B32" i="7"/>
  <c r="H31" i="7"/>
  <c r="C29" i="7"/>
  <c r="B29" i="7"/>
  <c r="H28" i="7"/>
  <c r="E26" i="7"/>
  <c r="D26" i="7"/>
  <c r="E25" i="7"/>
  <c r="D25" i="7"/>
  <c r="C25" i="7"/>
  <c r="G22" i="7"/>
  <c r="F22" i="7"/>
  <c r="E22" i="7"/>
  <c r="D22" i="7"/>
  <c r="C22" i="7"/>
  <c r="B20" i="7"/>
  <c r="F18" i="7"/>
  <c r="E18" i="7"/>
  <c r="D16" i="7"/>
  <c r="C16" i="7"/>
  <c r="B16" i="7"/>
  <c r="F15" i="7"/>
  <c r="C13" i="7"/>
  <c r="B13" i="7"/>
  <c r="H12" i="7"/>
  <c r="G12" i="7"/>
  <c r="E10" i="7"/>
  <c r="D10" i="7"/>
  <c r="C5" i="7"/>
  <c r="I43" i="6"/>
  <c r="I71" i="6" s="1"/>
  <c r="D42" i="6"/>
  <c r="D70" i="6" s="1"/>
  <c r="C42" i="6"/>
  <c r="C70" i="6" s="1"/>
  <c r="B42" i="6"/>
  <c r="B70" i="6" s="1"/>
  <c r="I41" i="6"/>
  <c r="I69" i="6" s="1"/>
  <c r="H41" i="6"/>
  <c r="H69" i="6" s="1"/>
  <c r="G41" i="6"/>
  <c r="G69" i="6" s="1"/>
  <c r="F41" i="6"/>
  <c r="F69" i="6" s="1"/>
  <c r="G39" i="6"/>
  <c r="G67" i="6" s="1"/>
  <c r="F39" i="6"/>
  <c r="F67" i="6" s="1"/>
  <c r="E39" i="6"/>
  <c r="E67" i="6" s="1"/>
  <c r="D39" i="6"/>
  <c r="D67" i="6" s="1"/>
  <c r="H38" i="6"/>
  <c r="H66" i="6" s="1"/>
  <c r="E36" i="6"/>
  <c r="E64" i="6" s="1"/>
  <c r="H34" i="6"/>
  <c r="H62" i="6" s="1"/>
  <c r="G34" i="6"/>
  <c r="G62" i="6" s="1"/>
  <c r="F34" i="6"/>
  <c r="F62" i="6" s="1"/>
  <c r="E34" i="6"/>
  <c r="E62" i="6" s="1"/>
  <c r="D34" i="6"/>
  <c r="D62" i="6" s="1"/>
  <c r="C34" i="6"/>
  <c r="C62" i="6" s="1"/>
  <c r="B34" i="6"/>
  <c r="B62" i="6" s="1"/>
  <c r="I31" i="6"/>
  <c r="I59" i="6" s="1"/>
  <c r="H31" i="6"/>
  <c r="H59" i="6" s="1"/>
  <c r="G31" i="6"/>
  <c r="G59" i="6" s="1"/>
  <c r="B30" i="6"/>
  <c r="B58" i="6" s="1"/>
  <c r="G29" i="6"/>
  <c r="G57" i="6" s="1"/>
  <c r="F29" i="6"/>
  <c r="F57" i="6" s="1"/>
  <c r="E29" i="6"/>
  <c r="E57" i="6" s="1"/>
  <c r="D29" i="6"/>
  <c r="D57" i="6" s="1"/>
  <c r="E27" i="6"/>
  <c r="E55" i="6" s="1"/>
  <c r="D27" i="6"/>
  <c r="D55" i="6" s="1"/>
  <c r="H26" i="6"/>
  <c r="H54" i="6" s="1"/>
  <c r="G26" i="6"/>
  <c r="G54" i="6" s="1"/>
  <c r="F26" i="6"/>
  <c r="F54" i="6" s="1"/>
  <c r="C24" i="6"/>
  <c r="C52" i="6" s="1"/>
  <c r="F22" i="6"/>
  <c r="F50" i="6" s="1"/>
  <c r="E22" i="6"/>
  <c r="E50" i="6" s="1"/>
  <c r="D22" i="6"/>
  <c r="D50" i="6" s="1"/>
  <c r="C22" i="6"/>
  <c r="C50" i="6" s="1"/>
  <c r="B22" i="6"/>
  <c r="B50" i="6" s="1"/>
  <c r="I21" i="6"/>
  <c r="I49" i="6" s="1"/>
  <c r="H21" i="6"/>
  <c r="H49" i="6" s="1"/>
  <c r="I19" i="6"/>
  <c r="I47" i="6" s="1"/>
  <c r="H19" i="6"/>
  <c r="H47" i="6" s="1"/>
  <c r="G19" i="6"/>
  <c r="G47" i="6" s="1"/>
  <c r="F19" i="6"/>
  <c r="F47" i="6" s="1"/>
  <c r="E19" i="6"/>
  <c r="D6" i="9" s="1"/>
  <c r="E6" i="9" s="1"/>
  <c r="C15" i="6"/>
  <c r="C14" i="6"/>
  <c r="C13" i="6"/>
  <c r="C12" i="6"/>
  <c r="C11" i="6"/>
  <c r="C10" i="6"/>
  <c r="C9" i="6"/>
  <c r="C8" i="6"/>
  <c r="G43" i="6" s="1"/>
  <c r="G71" i="6" s="1"/>
  <c r="M39" i="5"/>
  <c r="L39" i="5"/>
  <c r="K39" i="5"/>
  <c r="J39" i="5"/>
  <c r="I39" i="5"/>
  <c r="H39" i="5"/>
  <c r="G39" i="5"/>
  <c r="F39" i="5"/>
  <c r="E39" i="5"/>
  <c r="D39" i="5"/>
  <c r="C39" i="5"/>
  <c r="B39" i="5"/>
  <c r="M38" i="5"/>
  <c r="L38" i="5"/>
  <c r="K38" i="5"/>
  <c r="J38" i="5"/>
  <c r="I38" i="5"/>
  <c r="H38" i="5"/>
  <c r="G38" i="5"/>
  <c r="F38" i="5"/>
  <c r="D33" i="7" s="1"/>
  <c r="E38" i="5"/>
  <c r="D38" i="5"/>
  <c r="C38" i="5"/>
  <c r="B38" i="5"/>
  <c r="M37" i="5"/>
  <c r="L37" i="5"/>
  <c r="K37" i="5"/>
  <c r="J37" i="5"/>
  <c r="I37" i="5"/>
  <c r="H37" i="5"/>
  <c r="G37" i="5"/>
  <c r="F37" i="5"/>
  <c r="E37" i="5"/>
  <c r="D37" i="5"/>
  <c r="C37" i="5"/>
  <c r="B37" i="5"/>
  <c r="M36" i="5"/>
  <c r="L36" i="5"/>
  <c r="K36" i="5"/>
  <c r="J36" i="5"/>
  <c r="I36" i="5"/>
  <c r="H36" i="5"/>
  <c r="G36" i="5"/>
  <c r="F36" i="5"/>
  <c r="E36" i="5"/>
  <c r="D36" i="5"/>
  <c r="C36" i="5"/>
  <c r="B36" i="5"/>
  <c r="M35" i="5"/>
  <c r="L35" i="5"/>
  <c r="H39" i="6" s="1"/>
  <c r="H67" i="6" s="1"/>
  <c r="K35" i="5"/>
  <c r="J35" i="5"/>
  <c r="I35" i="5"/>
  <c r="H35" i="5"/>
  <c r="G35" i="5"/>
  <c r="F35" i="5"/>
  <c r="E35" i="5"/>
  <c r="D35" i="5"/>
  <c r="C35" i="5"/>
  <c r="B35" i="5"/>
  <c r="M34" i="5"/>
  <c r="L34" i="5"/>
  <c r="K34" i="5"/>
  <c r="J34" i="5"/>
  <c r="I34" i="5"/>
  <c r="H34" i="5"/>
  <c r="G34" i="5"/>
  <c r="F34" i="5"/>
  <c r="F29" i="7" s="1"/>
  <c r="E34" i="5"/>
  <c r="D34" i="5"/>
  <c r="C34" i="5"/>
  <c r="B34" i="5"/>
  <c r="M33" i="5"/>
  <c r="L33" i="5"/>
  <c r="K33" i="5"/>
  <c r="J33" i="5"/>
  <c r="I33" i="5"/>
  <c r="H33" i="5"/>
  <c r="G33" i="5"/>
  <c r="F33" i="5"/>
  <c r="E33" i="5"/>
  <c r="D33" i="5"/>
  <c r="C33" i="5"/>
  <c r="F37" i="6" s="1"/>
  <c r="F65" i="6" s="1"/>
  <c r="B33" i="5"/>
  <c r="M32" i="5"/>
  <c r="L32" i="5"/>
  <c r="G36" i="6" s="1"/>
  <c r="G64" i="6" s="1"/>
  <c r="K32" i="5"/>
  <c r="J32" i="5"/>
  <c r="I32" i="5"/>
  <c r="H32" i="5"/>
  <c r="G32" i="5"/>
  <c r="F32" i="5"/>
  <c r="E32" i="5"/>
  <c r="D32" i="5"/>
  <c r="C32" i="5"/>
  <c r="B32" i="5"/>
  <c r="M31" i="5"/>
  <c r="L31" i="5"/>
  <c r="F26" i="7" s="1"/>
  <c r="K31" i="5"/>
  <c r="J31" i="5"/>
  <c r="I31" i="5"/>
  <c r="H31" i="5"/>
  <c r="G31" i="5"/>
  <c r="F31" i="5"/>
  <c r="E31" i="5"/>
  <c r="D31" i="5"/>
  <c r="C31" i="5"/>
  <c r="B31" i="5"/>
  <c r="M30" i="5"/>
  <c r="L30" i="5"/>
  <c r="K30" i="5"/>
  <c r="J30" i="5"/>
  <c r="I30" i="5"/>
  <c r="H30" i="5"/>
  <c r="G30" i="5"/>
  <c r="F30" i="5"/>
  <c r="E30" i="5"/>
  <c r="D30" i="5"/>
  <c r="C30" i="5"/>
  <c r="B30" i="5"/>
  <c r="M29" i="5"/>
  <c r="L29" i="5"/>
  <c r="K29" i="5"/>
  <c r="J29" i="5"/>
  <c r="I29" i="5"/>
  <c r="H29" i="5"/>
  <c r="G29" i="5"/>
  <c r="F29" i="5"/>
  <c r="E29" i="5"/>
  <c r="D29" i="5"/>
  <c r="C29" i="5"/>
  <c r="B29" i="5"/>
  <c r="M28" i="5"/>
  <c r="L28" i="5"/>
  <c r="B23" i="7" s="1"/>
  <c r="K28" i="5"/>
  <c r="J28" i="5"/>
  <c r="I28" i="5"/>
  <c r="H28" i="5"/>
  <c r="G28" i="5"/>
  <c r="F28" i="5"/>
  <c r="E28" i="5"/>
  <c r="D28" i="5"/>
  <c r="C28" i="5"/>
  <c r="B28" i="5"/>
  <c r="M27" i="5"/>
  <c r="L27" i="5"/>
  <c r="H22" i="7" s="1"/>
  <c r="K27" i="5"/>
  <c r="J27" i="5"/>
  <c r="I27" i="5"/>
  <c r="H27" i="5"/>
  <c r="G27" i="5"/>
  <c r="F27" i="5"/>
  <c r="E27" i="5"/>
  <c r="D27" i="5"/>
  <c r="C27" i="5"/>
  <c r="B27" i="5"/>
  <c r="M26" i="5"/>
  <c r="L26" i="5"/>
  <c r="K26" i="5"/>
  <c r="J26" i="5"/>
  <c r="I26" i="5"/>
  <c r="H26" i="5"/>
  <c r="G26" i="5"/>
  <c r="F26" i="5"/>
  <c r="E26" i="5"/>
  <c r="D26" i="5"/>
  <c r="C26" i="5"/>
  <c r="B26" i="5"/>
  <c r="M25" i="5"/>
  <c r="L25" i="5"/>
  <c r="K25" i="5"/>
  <c r="J25" i="5"/>
  <c r="I25" i="5"/>
  <c r="H25" i="5"/>
  <c r="G25" i="5"/>
  <c r="F25" i="5"/>
  <c r="E25" i="5"/>
  <c r="D25" i="5"/>
  <c r="C25" i="5"/>
  <c r="I29" i="6" s="1"/>
  <c r="I57" i="6" s="1"/>
  <c r="B25" i="5"/>
  <c r="M24" i="5"/>
  <c r="L24" i="5"/>
  <c r="F19" i="7" s="1"/>
  <c r="K24" i="5"/>
  <c r="J24" i="5"/>
  <c r="I24" i="5"/>
  <c r="H24" i="5"/>
  <c r="G24" i="5"/>
  <c r="F24" i="5"/>
  <c r="E24" i="5"/>
  <c r="D24" i="5"/>
  <c r="C24" i="5"/>
  <c r="B24" i="5"/>
  <c r="M23" i="5"/>
  <c r="L23" i="5"/>
  <c r="G27" i="6" s="1"/>
  <c r="G55" i="6" s="1"/>
  <c r="K23" i="5"/>
  <c r="J23" i="5"/>
  <c r="I23" i="5"/>
  <c r="H23" i="5"/>
  <c r="G23" i="5"/>
  <c r="F23" i="5"/>
  <c r="E23" i="5"/>
  <c r="D23" i="5"/>
  <c r="C23" i="5"/>
  <c r="B23" i="5"/>
  <c r="M22" i="5"/>
  <c r="L22" i="5"/>
  <c r="K22" i="5"/>
  <c r="J22" i="5"/>
  <c r="I22" i="5"/>
  <c r="B17" i="7" s="1"/>
  <c r="H22" i="5"/>
  <c r="G22" i="5"/>
  <c r="F22" i="5"/>
  <c r="E22" i="5"/>
  <c r="D22" i="5"/>
  <c r="C22" i="5"/>
  <c r="B22" i="5"/>
  <c r="M21" i="5"/>
  <c r="L21" i="5"/>
  <c r="K21" i="5"/>
  <c r="J21" i="5"/>
  <c r="I21" i="5"/>
  <c r="H21" i="5"/>
  <c r="G21" i="5"/>
  <c r="F21" i="5"/>
  <c r="E21" i="5"/>
  <c r="D21" i="5"/>
  <c r="C21" i="5"/>
  <c r="D25" i="6" s="1"/>
  <c r="D53" i="6" s="1"/>
  <c r="B21" i="5"/>
  <c r="M20" i="5"/>
  <c r="L20" i="5"/>
  <c r="H15" i="7" s="1"/>
  <c r="K20" i="5"/>
  <c r="J20" i="5"/>
  <c r="I20" i="5"/>
  <c r="H20" i="5"/>
  <c r="G20" i="5"/>
  <c r="F20" i="5"/>
  <c r="E20" i="5"/>
  <c r="D20" i="5"/>
  <c r="C20" i="5"/>
  <c r="B20" i="5"/>
  <c r="M19" i="5"/>
  <c r="L19" i="5"/>
  <c r="K19" i="5"/>
  <c r="J19" i="5"/>
  <c r="I19" i="5"/>
  <c r="H19" i="5"/>
  <c r="G19" i="5"/>
  <c r="F19" i="5"/>
  <c r="E19" i="5"/>
  <c r="D19" i="5"/>
  <c r="C19" i="5"/>
  <c r="B19" i="5"/>
  <c r="M18" i="5"/>
  <c r="L18" i="5"/>
  <c r="K18" i="5"/>
  <c r="J18" i="5"/>
  <c r="I18" i="5"/>
  <c r="H18" i="5"/>
  <c r="G18" i="5"/>
  <c r="F18" i="5"/>
  <c r="E13" i="7" s="1"/>
  <c r="E18" i="5"/>
  <c r="D18" i="5"/>
  <c r="C18" i="5"/>
  <c r="B18" i="5"/>
  <c r="M17" i="5"/>
  <c r="L17" i="5"/>
  <c r="K17" i="5"/>
  <c r="J17" i="5"/>
  <c r="I17" i="5"/>
  <c r="H17" i="5"/>
  <c r="G17" i="5"/>
  <c r="F17" i="5"/>
  <c r="E17" i="5"/>
  <c r="D17" i="5"/>
  <c r="C17" i="5"/>
  <c r="B17" i="5"/>
  <c r="M16" i="5"/>
  <c r="L16" i="5"/>
  <c r="C20" i="6" s="1"/>
  <c r="C48" i="6" s="1"/>
  <c r="K16" i="5"/>
  <c r="J16" i="5"/>
  <c r="I16" i="5"/>
  <c r="H16" i="5"/>
  <c r="G16" i="5"/>
  <c r="F16" i="5"/>
  <c r="E16" i="5"/>
  <c r="D16" i="5"/>
  <c r="C16" i="5"/>
  <c r="B16" i="5"/>
  <c r="M15" i="5"/>
  <c r="L15" i="5"/>
  <c r="F10" i="7" s="1"/>
  <c r="K15" i="5"/>
  <c r="J15" i="5"/>
  <c r="I15" i="5"/>
  <c r="C10" i="7" s="1"/>
  <c r="H15" i="5"/>
  <c r="G15" i="5"/>
  <c r="F15" i="5"/>
  <c r="E15" i="5"/>
  <c r="D15" i="5"/>
  <c r="C15" i="5"/>
  <c r="B15" i="5"/>
  <c r="E30" i="4"/>
  <c r="F29" i="4"/>
  <c r="G29" i="4" s="1"/>
  <c r="E29" i="4"/>
  <c r="F28" i="4"/>
  <c r="G28" i="4" s="1"/>
  <c r="E28" i="4"/>
  <c r="E27" i="4"/>
  <c r="C17" i="4"/>
  <c r="C20" i="7" s="1"/>
  <c r="C16" i="4"/>
  <c r="F34" i="7" s="1"/>
  <c r="H15" i="3"/>
  <c r="I15" i="3" s="1"/>
  <c r="F15" i="3"/>
  <c r="F14" i="3"/>
  <c r="H14" i="3" s="1"/>
  <c r="I14" i="3" s="1"/>
  <c r="P8" i="3"/>
  <c r="Q8" i="3" s="1"/>
  <c r="Q7" i="3"/>
  <c r="P7" i="3"/>
  <c r="P6" i="3"/>
  <c r="Q6" i="3" s="1"/>
  <c r="Q5" i="3"/>
  <c r="P5" i="3"/>
  <c r="D13" i="2"/>
  <c r="C13" i="2"/>
  <c r="H7" i="2"/>
  <c r="J7" i="2" s="1"/>
  <c r="F7" i="2"/>
  <c r="H6" i="2"/>
  <c r="J6" i="2" s="1"/>
  <c r="F6" i="2"/>
  <c r="H5" i="2"/>
  <c r="J5" i="2" s="1"/>
  <c r="F5" i="2"/>
  <c r="G15" i="7" l="1"/>
  <c r="D29" i="7"/>
  <c r="B20" i="6"/>
  <c r="B48" i="6" s="1"/>
  <c r="H19" i="7"/>
  <c r="G10" i="7"/>
  <c r="D7" i="9" s="1"/>
  <c r="E7" i="9" s="1"/>
  <c r="G29" i="7"/>
  <c r="D20" i="6"/>
  <c r="D48" i="6" s="1"/>
  <c r="H10" i="7"/>
  <c r="H26" i="7"/>
  <c r="F30" i="4"/>
  <c r="H22" i="6"/>
  <c r="H50" i="6" s="1"/>
  <c r="F25" i="6"/>
  <c r="F53" i="6" s="1"/>
  <c r="I27" i="6"/>
  <c r="I55" i="6" s="1"/>
  <c r="D30" i="6"/>
  <c r="D58" i="6" s="1"/>
  <c r="G32" i="6"/>
  <c r="G60" i="6" s="1"/>
  <c r="E35" i="6"/>
  <c r="E63" i="6" s="1"/>
  <c r="H37" i="6"/>
  <c r="H65" i="6" s="1"/>
  <c r="C40" i="6"/>
  <c r="C68" i="6" s="1"/>
  <c r="F42" i="6"/>
  <c r="F70" i="6" s="1"/>
  <c r="B11" i="7"/>
  <c r="H13" i="7"/>
  <c r="D17" i="7"/>
  <c r="D20" i="7"/>
  <c r="B24" i="7"/>
  <c r="B27" i="7"/>
  <c r="B30" i="7"/>
  <c r="G33" i="7"/>
  <c r="D5" i="9"/>
  <c r="E5" i="9" s="1"/>
  <c r="F20" i="6"/>
  <c r="F48" i="6" s="1"/>
  <c r="D23" i="6"/>
  <c r="D51" i="6" s="1"/>
  <c r="G25" i="6"/>
  <c r="G53" i="6" s="1"/>
  <c r="B28" i="6"/>
  <c r="B56" i="6" s="1"/>
  <c r="E30" i="6"/>
  <c r="E58" i="6" s="1"/>
  <c r="H32" i="6"/>
  <c r="H60" i="6" s="1"/>
  <c r="F35" i="6"/>
  <c r="F63" i="6" s="1"/>
  <c r="I37" i="6"/>
  <c r="I65" i="6" s="1"/>
  <c r="D40" i="6"/>
  <c r="D68" i="6" s="1"/>
  <c r="G42" i="6"/>
  <c r="G70" i="6" s="1"/>
  <c r="C11" i="7"/>
  <c r="B14" i="7"/>
  <c r="E17" i="7"/>
  <c r="E20" i="7"/>
  <c r="C24" i="7"/>
  <c r="C27" i="7"/>
  <c r="H30" i="7"/>
  <c r="H33" i="7"/>
  <c r="D24" i="6"/>
  <c r="D52" i="6" s="1"/>
  <c r="E19" i="7"/>
  <c r="H36" i="6"/>
  <c r="H64" i="6" s="1"/>
  <c r="G24" i="6"/>
  <c r="G52" i="6" s="1"/>
  <c r="H29" i="6"/>
  <c r="H57" i="6" s="1"/>
  <c r="D37" i="6"/>
  <c r="D65" i="6" s="1"/>
  <c r="D13" i="7"/>
  <c r="G19" i="7"/>
  <c r="H27" i="6"/>
  <c r="H55" i="6" s="1"/>
  <c r="D35" i="6"/>
  <c r="D63" i="6" s="1"/>
  <c r="G37" i="6"/>
  <c r="G65" i="6" s="1"/>
  <c r="C17" i="7"/>
  <c r="H29" i="7"/>
  <c r="E20" i="6"/>
  <c r="E48" i="6" s="1"/>
  <c r="E23" i="6"/>
  <c r="E51" i="6" s="1"/>
  <c r="F30" i="6"/>
  <c r="F58" i="6" s="1"/>
  <c r="G35" i="6"/>
  <c r="G63" i="6" s="1"/>
  <c r="H42" i="6"/>
  <c r="H70" i="6" s="1"/>
  <c r="G14" i="7"/>
  <c r="B31" i="7"/>
  <c r="H20" i="6"/>
  <c r="H48" i="6" s="1"/>
  <c r="F23" i="6"/>
  <c r="F51" i="6" s="1"/>
  <c r="I25" i="6"/>
  <c r="I53" i="6" s="1"/>
  <c r="D28" i="6"/>
  <c r="D56" i="6" s="1"/>
  <c r="G30" i="6"/>
  <c r="G58" i="6" s="1"/>
  <c r="E33" i="6"/>
  <c r="E61" i="6" s="1"/>
  <c r="H35" i="6"/>
  <c r="H63" i="6" s="1"/>
  <c r="C38" i="6"/>
  <c r="C66" i="6" s="1"/>
  <c r="F40" i="6"/>
  <c r="F68" i="6" s="1"/>
  <c r="D43" i="6"/>
  <c r="D71" i="6" s="1"/>
  <c r="E11" i="7"/>
  <c r="H14" i="7"/>
  <c r="G17" i="7"/>
  <c r="G20" i="7"/>
  <c r="E24" i="7"/>
  <c r="E27" i="7"/>
  <c r="C31" i="7"/>
  <c r="C34" i="7"/>
  <c r="F24" i="6"/>
  <c r="F52" i="6" s="1"/>
  <c r="E47" i="6"/>
  <c r="H24" i="6"/>
  <c r="H52" i="6" s="1"/>
  <c r="E37" i="6"/>
  <c r="E65" i="6" s="1"/>
  <c r="I39" i="6"/>
  <c r="I67" i="6" s="1"/>
  <c r="F13" i="7"/>
  <c r="G26" i="7"/>
  <c r="E25" i="6"/>
  <c r="E53" i="6" s="1"/>
  <c r="F32" i="6"/>
  <c r="F60" i="6" s="1"/>
  <c r="E42" i="6"/>
  <c r="E70" i="6" s="1"/>
  <c r="C23" i="7"/>
  <c r="H25" i="6"/>
  <c r="H53" i="6" s="1"/>
  <c r="D33" i="6"/>
  <c r="D61" i="6" s="1"/>
  <c r="E40" i="6"/>
  <c r="E68" i="6" s="1"/>
  <c r="D21" i="6"/>
  <c r="D49" i="6" s="1"/>
  <c r="G23" i="6"/>
  <c r="G51" i="6" s="1"/>
  <c r="B26" i="6"/>
  <c r="B54" i="6" s="1"/>
  <c r="E28" i="6"/>
  <c r="E56" i="6" s="1"/>
  <c r="H30" i="6"/>
  <c r="H58" i="6" s="1"/>
  <c r="F33" i="6"/>
  <c r="F61" i="6" s="1"/>
  <c r="I35" i="6"/>
  <c r="I63" i="6" s="1"/>
  <c r="D38" i="6"/>
  <c r="D66" i="6" s="1"/>
  <c r="G40" i="6"/>
  <c r="G68" i="6" s="1"/>
  <c r="E43" i="6"/>
  <c r="E71" i="6" s="1"/>
  <c r="F11" i="7"/>
  <c r="B15" i="7"/>
  <c r="H17" i="7"/>
  <c r="H20" i="7"/>
  <c r="F24" i="7"/>
  <c r="F27" i="7"/>
  <c r="D31" i="7"/>
  <c r="D34" i="7"/>
  <c r="B32" i="6"/>
  <c r="B60" i="6" s="1"/>
  <c r="E29" i="7"/>
  <c r="F27" i="6"/>
  <c r="F55" i="6" s="1"/>
  <c r="E33" i="7"/>
  <c r="G22" i="6"/>
  <c r="G50" i="6" s="1"/>
  <c r="G13" i="7"/>
  <c r="F33" i="7"/>
  <c r="G20" i="6"/>
  <c r="G48" i="6" s="1"/>
  <c r="C28" i="6"/>
  <c r="C56" i="6" s="1"/>
  <c r="B38" i="6"/>
  <c r="B66" i="6" s="1"/>
  <c r="D11" i="7"/>
  <c r="F17" i="7"/>
  <c r="F20" i="7"/>
  <c r="D24" i="7"/>
  <c r="D27" i="7"/>
  <c r="B34" i="7"/>
  <c r="E21" i="6"/>
  <c r="E49" i="6" s="1"/>
  <c r="H23" i="6"/>
  <c r="H51" i="6" s="1"/>
  <c r="C26" i="6"/>
  <c r="C54" i="6" s="1"/>
  <c r="F28" i="6"/>
  <c r="F56" i="6" s="1"/>
  <c r="D31" i="6"/>
  <c r="D59" i="6" s="1"/>
  <c r="G33" i="6"/>
  <c r="G61" i="6" s="1"/>
  <c r="B36" i="6"/>
  <c r="B64" i="6" s="1"/>
  <c r="E38" i="6"/>
  <c r="E66" i="6" s="1"/>
  <c r="H40" i="6"/>
  <c r="H68" i="6" s="1"/>
  <c r="F43" i="6"/>
  <c r="F71" i="6" s="1"/>
  <c r="G11" i="7"/>
  <c r="C15" i="7"/>
  <c r="B18" i="7"/>
  <c r="G21" i="7"/>
  <c r="G24" i="7"/>
  <c r="G27" i="7"/>
  <c r="E31" i="7"/>
  <c r="E34" i="7"/>
  <c r="F36" i="6"/>
  <c r="F64" i="6" s="1"/>
  <c r="C19" i="4"/>
  <c r="C21" i="4" s="1"/>
  <c r="F21" i="6"/>
  <c r="F49" i="6" s="1"/>
  <c r="I23" i="6"/>
  <c r="I51" i="6" s="1"/>
  <c r="D26" i="6"/>
  <c r="D54" i="6" s="1"/>
  <c r="G28" i="6"/>
  <c r="G56" i="6" s="1"/>
  <c r="E31" i="6"/>
  <c r="E59" i="6" s="1"/>
  <c r="H33" i="6"/>
  <c r="H61" i="6" s="1"/>
  <c r="C36" i="6"/>
  <c r="C64" i="6" s="1"/>
  <c r="F38" i="6"/>
  <c r="F66" i="6" s="1"/>
  <c r="D41" i="6"/>
  <c r="D69" i="6" s="1"/>
  <c r="E12" i="7"/>
  <c r="D15" i="7"/>
  <c r="C18" i="7"/>
  <c r="H21" i="7"/>
  <c r="H24" i="7"/>
  <c r="F28" i="7"/>
  <c r="F31" i="7"/>
  <c r="E24" i="6"/>
  <c r="E52" i="6" s="1"/>
  <c r="C32" i="6"/>
  <c r="C60" i="6" s="1"/>
  <c r="D32" i="6"/>
  <c r="D60" i="6" s="1"/>
  <c r="E32" i="6"/>
  <c r="E60" i="6" s="1"/>
  <c r="C43" i="6"/>
  <c r="C71" i="6" s="1"/>
  <c r="C41" i="6"/>
  <c r="C69" i="6" s="1"/>
  <c r="C39" i="6"/>
  <c r="C67" i="6" s="1"/>
  <c r="C37" i="6"/>
  <c r="C65" i="6" s="1"/>
  <c r="C35" i="6"/>
  <c r="C63" i="6" s="1"/>
  <c r="C33" i="6"/>
  <c r="C61" i="6" s="1"/>
  <c r="C31" i="6"/>
  <c r="C59" i="6" s="1"/>
  <c r="C29" i="6"/>
  <c r="C57" i="6" s="1"/>
  <c r="C27" i="6"/>
  <c r="C55" i="6" s="1"/>
  <c r="C25" i="6"/>
  <c r="C53" i="6" s="1"/>
  <c r="C23" i="6"/>
  <c r="C51" i="6" s="1"/>
  <c r="C21" i="6"/>
  <c r="C49" i="6" s="1"/>
  <c r="C19" i="6"/>
  <c r="C47" i="6" s="1"/>
  <c r="I30" i="6"/>
  <c r="I58" i="6" s="1"/>
  <c r="I22" i="6"/>
  <c r="I50" i="6" s="1"/>
  <c r="B43" i="6"/>
  <c r="B71" i="6" s="1"/>
  <c r="B41" i="6"/>
  <c r="B69" i="6" s="1"/>
  <c r="B39" i="6"/>
  <c r="B67" i="6" s="1"/>
  <c r="B37" i="6"/>
  <c r="B65" i="6" s="1"/>
  <c r="B35" i="6"/>
  <c r="B63" i="6" s="1"/>
  <c r="B33" i="6"/>
  <c r="B61" i="6" s="1"/>
  <c r="B31" i="6"/>
  <c r="B59" i="6" s="1"/>
  <c r="B29" i="6"/>
  <c r="B57" i="6" s="1"/>
  <c r="B27" i="6"/>
  <c r="B55" i="6" s="1"/>
  <c r="B25" i="6"/>
  <c r="B53" i="6" s="1"/>
  <c r="B23" i="6"/>
  <c r="B51" i="6" s="1"/>
  <c r="B21" i="6"/>
  <c r="B49" i="6" s="1"/>
  <c r="B19" i="6"/>
  <c r="B47" i="6" s="1"/>
  <c r="I42" i="6"/>
  <c r="I70" i="6" s="1"/>
  <c r="I40" i="6"/>
  <c r="I68" i="6" s="1"/>
  <c r="I38" i="6"/>
  <c r="I66" i="6" s="1"/>
  <c r="I36" i="6"/>
  <c r="I64" i="6" s="1"/>
  <c r="I34" i="6"/>
  <c r="I62" i="6" s="1"/>
  <c r="I32" i="6"/>
  <c r="I60" i="6" s="1"/>
  <c r="I28" i="6"/>
  <c r="I56" i="6" s="1"/>
  <c r="I26" i="6"/>
  <c r="I54" i="6" s="1"/>
  <c r="I24" i="6"/>
  <c r="I52" i="6" s="1"/>
  <c r="I20" i="6"/>
  <c r="I48" i="6" s="1"/>
  <c r="C30" i="6"/>
  <c r="C58" i="6" s="1"/>
  <c r="B40" i="6"/>
  <c r="B68" i="6" s="1"/>
  <c r="C15" i="8"/>
  <c r="C16" i="8" s="1"/>
  <c r="C19" i="8" s="1"/>
  <c r="B33" i="7"/>
  <c r="G30" i="7"/>
  <c r="E28" i="7"/>
  <c r="C26" i="7"/>
  <c r="H23" i="7"/>
  <c r="F21" i="7"/>
  <c r="D19" i="7"/>
  <c r="H32" i="7"/>
  <c r="F30" i="7"/>
  <c r="D28" i="7"/>
  <c r="B26" i="7"/>
  <c r="G23" i="7"/>
  <c r="E21" i="7"/>
  <c r="C19" i="7"/>
  <c r="H16" i="7"/>
  <c r="F14" i="7"/>
  <c r="D12" i="7"/>
  <c r="B10" i="7"/>
  <c r="G32" i="7"/>
  <c r="E30" i="7"/>
  <c r="C28" i="7"/>
  <c r="H25" i="7"/>
  <c r="F23" i="7"/>
  <c r="D21" i="7"/>
  <c r="B19" i="7"/>
  <c r="G16" i="7"/>
  <c r="E14" i="7"/>
  <c r="C12" i="7"/>
  <c r="F27" i="4"/>
  <c r="G27" i="4" s="1"/>
  <c r="H34" i="7"/>
  <c r="F32" i="7"/>
  <c r="D30" i="7"/>
  <c r="B28" i="7"/>
  <c r="G25" i="7"/>
  <c r="E23" i="7"/>
  <c r="C21" i="7"/>
  <c r="H18" i="7"/>
  <c r="F16" i="7"/>
  <c r="D14" i="7"/>
  <c r="B12" i="7"/>
  <c r="G34" i="7"/>
  <c r="E32" i="7"/>
  <c r="C30" i="7"/>
  <c r="H27" i="7"/>
  <c r="F25" i="7"/>
  <c r="D23" i="7"/>
  <c r="B21" i="7"/>
  <c r="G18" i="7"/>
  <c r="E16" i="7"/>
  <c r="C14" i="7"/>
  <c r="H11" i="7"/>
  <c r="D19" i="6"/>
  <c r="D47" i="6" s="1"/>
  <c r="G21" i="6"/>
  <c r="G49" i="6" s="1"/>
  <c r="B24" i="6"/>
  <c r="B52" i="6" s="1"/>
  <c r="E26" i="6"/>
  <c r="E54" i="6" s="1"/>
  <c r="H28" i="6"/>
  <c r="H56" i="6" s="1"/>
  <c r="F31" i="6"/>
  <c r="F59" i="6" s="1"/>
  <c r="I33" i="6"/>
  <c r="I61" i="6" s="1"/>
  <c r="D36" i="6"/>
  <c r="D64" i="6" s="1"/>
  <c r="G38" i="6"/>
  <c r="G66" i="6" s="1"/>
  <c r="E41" i="6"/>
  <c r="E69" i="6" s="1"/>
  <c r="H43" i="6"/>
  <c r="H71" i="6" s="1"/>
  <c r="F12" i="7"/>
  <c r="E15" i="7"/>
  <c r="D18" i="7"/>
  <c r="B22" i="7"/>
  <c r="B25" i="7"/>
  <c r="G28" i="7"/>
  <c r="G31" i="7"/>
  <c r="C20" i="8" l="1"/>
  <c r="C21" i="8" s="1"/>
  <c r="C22" i="8" s="1"/>
  <c r="C36" i="4"/>
  <c r="G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3" authorId="0" shapeId="0" xr:uid="{00000000-0006-0000-0100-000001000000}">
      <text>
        <r>
          <rPr>
            <sz val="10"/>
            <rFont val="Arial"/>
            <family val="2"/>
          </rPr>
          <t>Límite del bloque AC estándar: hasta este C-rate el precio no cambia con la potencia</t>
        </r>
      </text>
    </comment>
    <comment ref="B13" authorId="0" shapeId="0" xr:uid="{00000000-0006-0000-0100-000002000000}">
      <text>
        <r>
          <rPr>
            <sz val="10"/>
            <rFont val="Arial"/>
            <family val="2"/>
          </rPr>
          <t>Derivada de la participación del PCS en el bloque AC: 26 sobre 236 según la figura 1 del NREL, es decir 11 %. Duplicar el C-rate de 0,50 a 1,00 duplica el PCS y agrega ese 11 %, lo que da 0,22 por unidad de C. S-3 exigiría 4,30, veinte veces más: esa prima no es C-rate.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8" authorId="0" shapeId="0" xr:uid="{00000000-0006-0000-0300-000001000000}">
      <text>
        <r>
          <rPr>
            <sz val="10"/>
            <rFont val="Arial"/>
            <family val="2"/>
          </rPr>
          <t>Cinco kilómetros de línea en media tensión, igual que el alcance de la tabla de rangos</t>
        </r>
      </text>
    </comment>
    <comment ref="C20" authorId="0" shapeId="0" xr:uid="{00000000-0006-0000-0300-000002000000}">
      <text>
        <r>
          <rPr>
            <sz val="10"/>
            <rFont val="Arial"/>
            <family val="2"/>
          </rPr>
          <t>Relación entre el precio final de R2 (813 USD/kWp) y la suma de componentes</t>
        </r>
      </text>
    </comment>
    <comment ref="C33" authorId="0" shapeId="0" xr:uid="{00000000-0006-0000-0300-000003000000}">
      <text>
        <r>
          <rPr>
            <sz val="10"/>
            <rFont val="Arial"/>
            <family val="2"/>
          </rPr>
          <t>Calibrado para que el modelo siga la tabla de rangos, con el hardware cayendo 1,51 veces más rápido que el contenido local (razón medida entre las dos cotizaciones)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500-000001000000}">
      <text>
        <r>
          <rPr>
            <sz val="10"/>
            <rFont val="Arial"/>
            <family val="2"/>
          </rPr>
          <t>B1 baja tensión · B2 media tensión skid · B3 media tensión utility · B4 alta tensión</t>
        </r>
      </text>
    </comment>
    <comment ref="C5" authorId="0" shapeId="0" xr:uid="{00000000-0006-0000-0500-000002000000}">
      <text>
        <r>
          <rPr>
            <sz val="10"/>
            <rFont val="Arial"/>
            <family val="2"/>
          </rPr>
          <t>Bajo, Medio o Alto</t>
        </r>
      </text>
    </comment>
    <comment ref="C6" authorId="0" shapeId="0" xr:uid="{00000000-0006-0000-0500-000003000000}">
      <text>
        <r>
          <rPr>
            <sz val="10"/>
            <rFont val="Arial"/>
            <family val="2"/>
          </rPr>
          <t>Define cuánto se amortiza el costo fijo</t>
        </r>
      </text>
    </comment>
    <comment ref="C7" authorId="0" shapeId="0" xr:uid="{00000000-0006-0000-0500-000004000000}">
      <text>
        <r>
          <rPr>
            <sz val="10"/>
            <rFont val="Arial"/>
            <family val="2"/>
          </rPr>
          <t>Ver la tabla por tipo de servicio en la hoja Suministro_BESS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4" authorId="0" shapeId="0" xr:uid="{00000000-0006-0000-0600-000001000000}">
      <text>
        <r>
          <rPr>
            <sz val="10"/>
            <rFont val="Arial"/>
            <family val="2"/>
          </rPr>
          <t>Bajo, Medio o Alto</t>
        </r>
      </text>
    </comment>
    <comment ref="C6" authorId="0" shapeId="0" xr:uid="{00000000-0006-0000-0600-000002000000}">
      <text>
        <r>
          <rPr>
            <sz val="10"/>
            <rFont val="Arial"/>
            <family val="2"/>
          </rPr>
          <t>Por debajo de esta escala se usa la trayectoria de commercial PV del ATB, más plana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700-000001000000}">
      <text>
        <r>
          <rPr>
            <sz val="10"/>
            <rFont val="Arial"/>
            <family val="2"/>
          </rPr>
          <t>Bajo, Medio o Alto</t>
        </r>
      </text>
    </comment>
    <comment ref="C9" authorId="0" shapeId="0" xr:uid="{00000000-0006-0000-0700-000002000000}">
      <text>
        <r>
          <rPr>
            <sz val="10"/>
            <rFont val="Arial"/>
            <family val="2"/>
          </rPr>
          <t>B1 a B4</t>
        </r>
      </text>
    </comment>
    <comment ref="C10" authorId="0" shapeId="0" xr:uid="{00000000-0006-0000-0700-000003000000}">
      <text>
        <r>
          <rPr>
            <sz val="10"/>
            <rFont val="Arial"/>
            <family val="2"/>
          </rPr>
          <t>Ver tabla por tipo de servicio</t>
        </r>
      </text>
    </comment>
    <comment ref="C11" authorId="0" shapeId="0" xr:uid="{00000000-0006-0000-0700-000004000000}">
      <text>
        <r>
          <rPr>
            <sz val="10"/>
            <rFont val="Arial"/>
            <family val="2"/>
          </rPr>
          <t>Conexión, control, obra civil y gestión que no se duplican</t>
        </r>
      </text>
    </comment>
  </commentList>
</comments>
</file>

<file path=xl/sharedStrings.xml><?xml version="1.0" encoding="utf-8"?>
<sst xmlns="http://schemas.openxmlformats.org/spreadsheetml/2006/main" count="293" uniqueCount="249">
  <si>
    <t>Curvas de costo CAPEX colombianizadas — solar, almacenamiento e híbrido</t>
  </si>
  <si>
    <t>Versión 3 · modelo bottom-up por componente, recalibrado con las cotizaciones de suministro  y la tabla de rangos de octubre de 2025</t>
  </si>
  <si>
    <t>Qué cambió frente a la versión anterior</t>
  </si>
  <si>
    <t>Tres correcciones de fondo. La curva solar ya no se ajusta a cotizaciones sueltas de alcances distintos: se ancla en la tabla de rangos de octubre de 2025, que cubre los cuatro tramos de escala con un mismo alcance Full EPC y una misma fecha. El suministro de baterías dejó de escalar con la potencia: dos ofertas  para el mismo proyecto, una a 0,5C y otra a 0,25C, tienen precio idéntico. Y la energía instalada se separó de la energía nominal, porque el sobredimensionamiento cambia mucho entre servicios.</t>
  </si>
  <si>
    <t>El suministro de baterías se cotiza por energía, no por potencia</t>
  </si>
  <si>
    <t>En S-1, las opciones de 0,5C con 10 MW y de 0,25C con 5 MW tienen exactamente el mismo precio: 2.191.375 USD por 25,06 MWh. En la arquitectura de bloque AC el PCS viene embebido y el número de bloques lo fija la energía. Por eso el modelo cobra el suministro por kWh instalado y no por kW, hasta el límite de C-rate del producto. Por encima de ese límite aparece una prima, que se estima con S-3.</t>
  </si>
  <si>
    <t>Energía instalada frente a energía nominal</t>
  </si>
  <si>
    <t>Un sistema aislado que cicla profundo todos los días durante veinte años, sin contrato de aumentación, necesita bastante más energía instalada que la garantizada. En R1 son 40 MWh instalados para 25 MWh útiles, un factor de 1,60. En S-1 son 25,06 para 20, un factor de 1,25. El modelo pide el factor explícitamente porque cambia el CAPEX en la misma proporción.</t>
  </si>
  <si>
    <t>Colombianización</t>
  </si>
  <si>
    <t>El CAPEX se separa en contenido global —celda, contenedor, PCS, módulo, inversor, estructura, transformación— que se compra al precio mundial, y contenido local —obra civil, montaje, conexión, ingeniería, pólizas, impuestos, margen— que responde a costos colombianos. Las cotizaciones fijan el nivel de ambos bloques y las fuentes internacionales fijan la pendiente de cada uno por separado.</t>
  </si>
  <si>
    <t>Qué se corrigió del diagnóstico anterior</t>
  </si>
  <si>
    <t>Al descomponer R2 línea por línea resultó que su obra civil por kWp es prácticamente igual a la del proyecto de 130 MWp: la razón es 0,97. La explicación de obras de inundabilidad era equivocada. La diferencia real está en transformación, con razón 2,81 por usar dos transformadores de potencia en lugar de centros de transformación distribuidos, y en BOP con montaje, con razón 1,98. Y con la tabla de rangos a la vista, R2 no es un dato atípico: cae dentro de la banda de 800 a 900 para su tramo. El atípico es la oferta de 130 MWp, veinte por ciento por debajo de la banda de su tramo.</t>
  </si>
  <si>
    <t>Estado de la evidencia</t>
  </si>
  <si>
    <t>Sólido: el desglose de R3 en doce componentes, que suma exactamente el subtotal de la hoja original; la coincidencia de S-1 con el contenedor de R3 en unos 88 USD/kWh; el ajuste de la tabla de rangos con R² de 0,98, sobre el que R2 cae con 0,1 % de error; y la predicción de R1 con 0,1 % una vez confirmados los 40 MWh instalados. Débil: la prima por C-rate, que descansa en un solo punto que además puede traer formación de red; el tramo de 50 a 100 MWp, que la tabla de rangos no cubre; y los segmentos B1 y B2 de almacenamiento, donde el costo de potencia local y el fijo se escogieron por criterio.</t>
  </si>
  <si>
    <t>Lo que sigue faltando</t>
  </si>
  <si>
    <t>Una cotización propia de almacenamiento por encima de 4 h, para verificar que el suministro plano por kWh se sostiene a 6 y 8 h. Una cotización solar entre 50 y 100 MWp. Y separar, en S-3, cuánto de la prima es C-rate y cuánto es capacidad de formación de red y regulación primaria de frecuencia.</t>
  </si>
  <si>
    <t>Codificación de las cotizaciones</t>
  </si>
  <si>
    <t>Todas las referencias están anonimizadas. R1: híbrido solar más almacenamiento en sitio aislado, con generación diésel de respaldo. R2: planta solar de 8 MWp con línea de interconexión dedicada, la única con desglose completo línea por línea. R3: almacenamiento standalone de 10 MW y 40 MWh, la cotización EPC más granular y más reciente. R4: híbrido de gran escala, 130 MWp más 360 MWh, oferta no vinculante de proveedor de enero de 2025. R5, R6 y R7: benchmark interno de mercado para almacenamiento en baja, media y alta tensión. S-1, S-2 y S-3: cotizaciones de suministro de baterías únicamente, sin obra civil, montaje ni comisionamiento.</t>
  </si>
  <si>
    <t>Convenciones</t>
  </si>
  <si>
    <t>Base full costo con margen. USD constantes de 2026. Solar en USD por kWp DC. Almacenamiento en USD por kWh de energía nominal, con la duración siempre declarada. Celdas azules sobre amarillo son entradas; el resto son fórmulas.</t>
  </si>
  <si>
    <t>Fuentes de las trayectorias</t>
  </si>
  <si>
    <t>Cole, Ramasamy y Turan (2025), Cost Projections for Utility-Scale Battery Storage: 2025 Update, NREL/TP-6A40-93281, tabla 2 y figura 1. NREL Annual Technology Baseline, escenarios de innovación tecnológica para utility-scale y commercial PV. IRENA, Renewable Power Generation Costs in 2024, para la razón entre la caída del módulo y la de instalación, EPC y costos blandos. La separación de cada trayectoria en hardware y contenido local es construcción propia a partir de esas fuentes, no un dato publicado.</t>
  </si>
  <si>
    <t>Calibración del suministro de baterías</t>
  </si>
  <si>
    <t>Solo baterías, sobre energía instalada. Tres cotizaciones independientes de proveedor</t>
  </si>
  <si>
    <t>Cotización</t>
  </si>
  <si>
    <t>Fecha</t>
  </si>
  <si>
    <t>Incoterm</t>
  </si>
  <si>
    <t>E instalada
(MWh)</t>
  </si>
  <si>
    <t>P (MW)</t>
  </si>
  <si>
    <t>C-rate</t>
  </si>
  <si>
    <t>Valor (USD)</t>
  </si>
  <si>
    <t>USD/kWh
instalado</t>
  </si>
  <si>
    <t>Ajuste a CIF</t>
  </si>
  <si>
    <t>USD/kWh
CIF equiv.</t>
  </si>
  <si>
    <t>S-1 — bloque AC, oferta de proveedor</t>
  </si>
  <si>
    <t>oct-2025</t>
  </si>
  <si>
    <t>CIF puerto de destino</t>
  </si>
  <si>
    <t>S-2 — contenedor, dentro de cotización EPC, antes del recargo del 6 %</t>
  </si>
  <si>
    <t>jun-2026</t>
  </si>
  <si>
    <t>DAP</t>
  </si>
  <si>
    <t>S-3 — bloque AC de alto C-rate, oferta de proveedor</t>
  </si>
  <si>
    <t>mar-2026</t>
  </si>
  <si>
    <t>FOB</t>
  </si>
  <si>
    <t>Las dos opciones de S-1 —0,5C con 10 MW y 0,25C con 5 MW— tienen precio idéntico. El suministro se cotiza por energía y el PCS viene embebido en el bloque AC. S-1 a 0,40C y el contenedor de R3 a 0,25C coinciden en unos 88 USD/kWh con ocho meses de diferencia: los precios de suministro se aplanaron después del primer semestre de 2025.</t>
  </si>
  <si>
    <t>Prima por C-rate sobre el suministro</t>
  </si>
  <si>
    <t>C-rate de quiebre</t>
  </si>
  <si>
    <t>Pendiente de la prima
(por unidad de C)</t>
  </si>
  <si>
    <t>Prima a 0,60C</t>
  </si>
  <si>
    <t>Prima a 1,00C</t>
  </si>
  <si>
    <t>S-3 cuesta 125,1 USD/kWh en CIF equivalente contra 87,4 de S-1: 43 % más por pasar de 0,50C a 0,60C. Esa pendiente sería de 4,30 por unidad de C, veinte veces la que se deduce de la física del equipo. El PCS pesa 11 % del bloque AC según la figura 1 del NREL, así que duplicar el C-rate de 0,50 a 1,00 solo agrega ese 11 %, o sea 0,22 por unidad de C. La conclusión es que la prima de S-3 casi no es C-rate: es un almacenamiento asociado a una central térmica en otro mercado, con toda probabilidad con requisitos de formación de red y de regulación primaria de frecuencia, y con otra fecha. El modelo usa la pendiente física, 0,22. Poner 4,30 en la celda reproduce el punto observado como límite superior.</t>
  </si>
  <si>
    <t>Sobredimensionamiento — energía instalada sobre energía nominal</t>
  </si>
  <si>
    <t>Tipo de servicio</t>
  </si>
  <si>
    <t>Factor</t>
  </si>
  <si>
    <t>Origen</t>
  </si>
  <si>
    <t>Arbitraje y servicios de red, con aumentación contratada</t>
  </si>
  <si>
    <t>Supuesto</t>
  </si>
  <si>
    <t>Respaldo y desplazamiento de autoconsumo</t>
  </si>
  <si>
    <t>S-1: 25,06 MWh instalados para 20 nominales</t>
  </si>
  <si>
    <t>Sistema aislado, ciclado profundo diario, sin aumentación</t>
  </si>
  <si>
    <t>R1: 40 MWh instalados para 25 útiles, confirmado</t>
  </si>
  <si>
    <t>Modelo de almacenamiento — parámetros por segmento</t>
  </si>
  <si>
    <t>CAPEX = (cSUP·prima(C)·E_inst + cE_loc·E_nom + cP_loc·P + cF) × (1+indirectos) × (1+EPC mgmt) ÷ (1−margen)</t>
  </si>
  <si>
    <t>Seg.</t>
  </si>
  <si>
    <t>Descripción</t>
  </si>
  <si>
    <t>Rango
(MWh)</t>
  </si>
  <si>
    <t>cSUP
(USD/kWh inst.)</t>
  </si>
  <si>
    <t>cE local
(USD/kWh)</t>
  </si>
  <si>
    <t>cP local
(USD/kW)</t>
  </si>
  <si>
    <t>cF
(USD)</t>
  </si>
  <si>
    <t>Indir.</t>
  </si>
  <si>
    <t>EPC
mgmt</t>
  </si>
  <si>
    <t>Margen</t>
  </si>
  <si>
    <t>Ancla</t>
  </si>
  <si>
    <t>P ancla
(MW)</t>
  </si>
  <si>
    <t>E nom.
(MWh)</t>
  </si>
  <si>
    <t>Factor
sobredim.</t>
  </si>
  <si>
    <t>CAPEX ancla
(USD)</t>
  </si>
  <si>
    <t>Modelo
(USD)</t>
  </si>
  <si>
    <t>Error</t>
  </si>
  <si>
    <t>B1</t>
  </si>
  <si>
    <t>Baja tensión — gabinete comercial e industrial</t>
  </si>
  <si>
    <t>0,1 – 1</t>
  </si>
  <si>
    <t>R5</t>
  </si>
  <si>
    <t>B2</t>
  </si>
  <si>
    <t>Media tensión — skid</t>
  </si>
  <si>
    <t>1 – 20</t>
  </si>
  <si>
    <t>R6</t>
  </si>
  <si>
    <t>B3</t>
  </si>
  <si>
    <t>Media tensión — utility</t>
  </si>
  <si>
    <t>20 – 100</t>
  </si>
  <si>
    <t>R3</t>
  </si>
  <si>
    <t>B4</t>
  </si>
  <si>
    <t>Alta tensión — utility grande</t>
  </si>
  <si>
    <t>&gt; 100</t>
  </si>
  <si>
    <t>R7</t>
  </si>
  <si>
    <t>cSUP se calibra como residuo dentro de cada segmento. En B3 y B4 coincide con el suministro medido en la hoja anterior, 93,4 USD/kWh, lo cual es una comprobación real. En B1 y B2 el costo de potencia local y el costo fijo se escogieron por criterio, así que su cSUP absorbe esa elección y no debe leerse como precio de suministro observado.</t>
  </si>
  <si>
    <t>Validación cruzada</t>
  </si>
  <si>
    <t>Punto</t>
  </si>
  <si>
    <t>E inst.
(MWh)</t>
  </si>
  <si>
    <t>CAPEX real</t>
  </si>
  <si>
    <t>Modelo</t>
  </si>
  <si>
    <t>R4 — híbrido de gran escala</t>
  </si>
  <si>
    <t>R1 — híbrido aislado</t>
  </si>
  <si>
    <t>R1 entra con los 40 MWh instalados confirmados. R4 queda por encima del modelo porque su oferta es de enero de 2025 con precios unitarios de proveedor, no un precio EPC en firme.</t>
  </si>
  <si>
    <t>Modelo solar — composición por componente y curva de escala</t>
  </si>
  <si>
    <t>CAPEX/kWp = (HW·(S/8)^bHW + LOC·(S/8)^bLOC + conexión) × factor de indirectos, IVA y AIU</t>
  </si>
  <si>
    <t>Composición a 8 MWp — desglose línea por línea de la cotización R2, en USD/kWp DC sin IVA ni AIU</t>
  </si>
  <si>
    <t>Componente</t>
  </si>
  <si>
    <t>Contenido</t>
  </si>
  <si>
    <t>USD/kWp</t>
  </si>
  <si>
    <t>Razón frente
a 130 MWp</t>
  </si>
  <si>
    <t>Módulos</t>
  </si>
  <si>
    <t>Global</t>
  </si>
  <si>
    <t>Estructura, hincas, correas y omegas</t>
  </si>
  <si>
    <t>Inversores string</t>
  </si>
  <si>
    <t>Transformación MT</t>
  </si>
  <si>
    <t>BOP eléctrico: cables DC y AC, SPT, monitoreo, CCTV, fibra</t>
  </si>
  <si>
    <t>—</t>
  </si>
  <si>
    <t>Montaje electromecánico</t>
  </si>
  <si>
    <t>Local</t>
  </si>
  <si>
    <t>Obra civil y eléctrica</t>
  </si>
  <si>
    <t>Ingeniería y estudios</t>
  </si>
  <si>
    <t>Comisionamiento y puesta en marcha</t>
  </si>
  <si>
    <t>Repuestos, pólizas, cerramiento y otros</t>
  </si>
  <si>
    <t>Hardware global (HW)</t>
  </si>
  <si>
    <t>Contenido local (LOC)</t>
  </si>
  <si>
    <t>Línea de interconexión, subestación y bahía CPM (CNX)</t>
  </si>
  <si>
    <t>Total a 8 MWp</t>
  </si>
  <si>
    <t>Factor de indirectos, IVA no descontable y AIU</t>
  </si>
  <si>
    <t>Precio a 8 MWp</t>
  </si>
  <si>
    <t>La obra civil por kWp es prácticamente igual en las dos cotizaciones: razón de 0,97. La diferencia entre el proyecto de 8 MWp y el de 130 MWp está en transformación, con razón 2,81 por usar dos transformadores de potencia en lugar de centros de transformación distribuidos, y en BOP con montaje, con razón 1,98.</t>
  </si>
  <si>
    <t>Anclas de escala — rangos de mercado, octubre de 2025, alcance Full EPC con 5 km de línea MT</t>
  </si>
  <si>
    <t>Tramo</t>
  </si>
  <si>
    <t>MWp de referencia</t>
  </si>
  <si>
    <t>Inferior
(USD/MWp)</t>
  </si>
  <si>
    <t>Superior
(USD/MWp)</t>
  </si>
  <si>
    <t>Punto medio
(USD/kWp)</t>
  </si>
  <si>
    <t>Modelo
(USD/kWp)</t>
  </si>
  <si>
    <t>1 – 10 MW</t>
  </si>
  <si>
    <t>10 – 20 MW</t>
  </si>
  <si>
    <t>20 – 50 MW</t>
  </si>
  <si>
    <t>&gt; 100 MW</t>
  </si>
  <si>
    <t>Exponente de escala del hardware (bHW)</t>
  </si>
  <si>
    <t>Exponente de escala del contenido local (bLOC)</t>
  </si>
  <si>
    <t>Validación — oferta R4 a 130 MWp, con su línea de 34,5 kV</t>
  </si>
  <si>
    <t>Diferencia frente al modelo</t>
  </si>
  <si>
    <t>La oferta de 130 MWp queda cerca de veinte por ciento por debajo de la banda de su tramo. Es una oferta no vinculante de proveedor de enero de 2025, con indirectos del 4 % y margen embebido en los unitarios, no un precio EPC en firme. Entra como validación, no como ancla.</t>
  </si>
  <si>
    <t>Trayectorias de costo por componente</t>
  </si>
  <si>
    <t>Índices reales en USD constantes, base 2026 = 1,00</t>
  </si>
  <si>
    <t>Fuente</t>
  </si>
  <si>
    <t>Bajo
2026-2035</t>
  </si>
  <si>
    <t>Medio
2026-2035</t>
  </si>
  <si>
    <t>Alto
2026-2035</t>
  </si>
  <si>
    <t>Bajo
2035-2050</t>
  </si>
  <si>
    <t>Medio
2035-2050</t>
  </si>
  <si>
    <t>Alto
2035-2050</t>
  </si>
  <si>
    <t>Suministro de baterías</t>
  </si>
  <si>
    <t>NREL/TP-6A40-93281, tabla 2, índice del sistema de 4 h</t>
  </si>
  <si>
    <t>Hardware solar — utility</t>
  </si>
  <si>
    <t>NREL ATB, escenarios de innovación, utility-scale PV</t>
  </si>
  <si>
    <t>Hardware solar — comercial</t>
  </si>
  <si>
    <t>NREL ATB, escenarios de innovación, commercial PV</t>
  </si>
  <si>
    <t>Contenido local</t>
  </si>
  <si>
    <t>NREL ATB e IRENA 2024, instalación, EPC y costos blandos</t>
  </si>
  <si>
    <t>La versión anterior aplicaba las tasas de utility a todos los tramos solares. El ATB publica una trayectoria distinta para commercial PV, bastante más plana, y es la que corresponde a los proyectos por debajo de 10 MWp.</t>
  </si>
  <si>
    <t>Los precios de suministro de baterías se aplanaron entre octubre de 2025 y junio de 2026, según S-1 y el contenedor de R3. Eso afecta la reconstrucción hacia atrás, no la proyección hacia adelante, que arranca en 2026 con el índice del NREL.</t>
  </si>
  <si>
    <t>Índices anuales</t>
  </si>
  <si>
    <t>Año</t>
  </si>
  <si>
    <t>Batería
Bajo</t>
  </si>
  <si>
    <t>Batería
Medio</t>
  </si>
  <si>
    <t>Batería
Alto</t>
  </si>
  <si>
    <t>Solar util.
Bajo</t>
  </si>
  <si>
    <t>Solar util.
Medio</t>
  </si>
  <si>
    <t>Solar util.
Alto</t>
  </si>
  <si>
    <t>Solar com.
Bajo</t>
  </si>
  <si>
    <t>Solar com.
Medio</t>
  </si>
  <si>
    <t>Solar com.
Alto</t>
  </si>
  <si>
    <t>Local
Bajo</t>
  </si>
  <si>
    <t>Local
Medio</t>
  </si>
  <si>
    <t>Local
Alto</t>
  </si>
  <si>
    <t>Curva de almacenamiento — duración 1 a 8 h</t>
  </si>
  <si>
    <t>USD por kWh de energía nominal, constantes de 2026, full costo con margen</t>
  </si>
  <si>
    <t>Segmento</t>
  </si>
  <si>
    <t>Escenario</t>
  </si>
  <si>
    <t>Medio</t>
  </si>
  <si>
    <t>Energía nominal del proyecto (MWh)</t>
  </si>
  <si>
    <t>Factor de sobredimensionamiento</t>
  </si>
  <si>
    <t>cSUP (USD/kWh instalado)</t>
  </si>
  <si>
    <t>cE local (USD/kWh)</t>
  </si>
  <si>
    <t>cP local (USD/kW)</t>
  </si>
  <si>
    <t>cF (USD)</t>
  </si>
  <si>
    <t>Indirectos</t>
  </si>
  <si>
    <t>EPC management</t>
  </si>
  <si>
    <t>Columna de escenario</t>
  </si>
  <si>
    <t>USD por kWh de energía nominal</t>
  </si>
  <si>
    <t>1 h</t>
  </si>
  <si>
    <t>2 h</t>
  </si>
  <si>
    <t>3 h</t>
  </si>
  <si>
    <t>4 h</t>
  </si>
  <si>
    <t>5 h</t>
  </si>
  <si>
    <t>6 h</t>
  </si>
  <si>
    <t>7 h</t>
  </si>
  <si>
    <t>8 h</t>
  </si>
  <si>
    <t>USD por kW de potencia nominal</t>
  </si>
  <si>
    <t>Por debajo de 2 h el C-rate supera el límite del bloque AC estándar y entra la prima de suministro, que es el parámetro más incierto del modelo. Por encima de 4 h la curva se aplana: como el suministro se cobra por energía y el PCS viene embebido, lo único que se reparte sobre más energía es la conexión, la transformación y los fijos.</t>
  </si>
  <si>
    <t>Curva solar por escala</t>
  </si>
  <si>
    <t>USD por kWp DC, constantes de 2026, full costo con margen, alcance Full EPC con 5 km de línea MT</t>
  </si>
  <si>
    <t>Escala de corte para la trayectoria comercial (MWp)</t>
  </si>
  <si>
    <t>CAPEX en USD por kWp DC</t>
  </si>
  <si>
    <t>1 MWp</t>
  </si>
  <si>
    <t>5 MWp</t>
  </si>
  <si>
    <t>10 MWp</t>
  </si>
  <si>
    <t>20 MWp</t>
  </si>
  <si>
    <t>50 MWp</t>
  </si>
  <si>
    <t>100 MWp</t>
  </si>
  <si>
    <t>200 MWp</t>
  </si>
  <si>
    <t>La curva es continua en escala: no hay saltos entre tramos. El único quiebre es de trayectoria, cuando por debajo de la escala de corte se usa la senda de commercial PV en lugar de la de utility.</t>
  </si>
  <si>
    <t>Configurador de planta híbrida</t>
  </si>
  <si>
    <t>Suma de las dos curvas menos el ahorro de infraestructura compartida</t>
  </si>
  <si>
    <t>Potencia solar (MWp DC)</t>
  </si>
  <si>
    <t>Energía nominal BESS (MWh)</t>
  </si>
  <si>
    <t>Duración BESS (h)</t>
  </si>
  <si>
    <t>Segmento BESS</t>
  </si>
  <si>
    <t>Ahorro por infraestructura compartida</t>
  </si>
  <si>
    <t>Potencia BESS (MW)</t>
  </si>
  <si>
    <t>CAPEX solar (USD/kWp DC)</t>
  </si>
  <si>
    <t>CAPEX solar (USD)</t>
  </si>
  <si>
    <t>CAPEX BESS (USD/kWh nominal)</t>
  </si>
  <si>
    <t>CAPEX BESS (USD)</t>
  </si>
  <si>
    <t>Suma simple (USD)</t>
  </si>
  <si>
    <t>Ahorro por infraestructura compartida (USD)</t>
  </si>
  <si>
    <t>CAPEX híbrido total (USD)</t>
  </si>
  <si>
    <t>CAPEX híbrido (USD/kWp solar)</t>
  </si>
  <si>
    <t>Contraste con referencias internacionales</t>
  </si>
  <si>
    <t>El modelo colombiano frente a los benchmarks publicados</t>
  </si>
  <si>
    <t>Referencia</t>
  </si>
  <si>
    <t>Publicado</t>
  </si>
  <si>
    <t>Dif.</t>
  </si>
  <si>
    <t>Comentario</t>
  </si>
  <si>
    <t>NREL, sistema de almacenamiento de 4 h, EE. UU.</t>
  </si>
  <si>
    <t>El modelo de NREL incluye el arancel de la Sección 301 sobre celdas chinas, un arancel general de 3,4 % y 5,8 % de impuesto a las ventas. Nada de eso aplica en Colombia, donde la Ley 1715 excluye el IVA sobre el equipo.</t>
  </si>
  <si>
    <t>IRENA, almacenamiento en baterías, promedio global</t>
  </si>
  <si>
    <t>Alineación cercana. Es la referencia más comparable con una cotización llave en mano colombiana.</t>
  </si>
  <si>
    <t>IRENA, solar utility-scale, costo total instalado global</t>
  </si>
  <si>
    <t>A 100 MWp el modelo queda cerca del promedio global. IRENA reporta 1.058 en EE. UU., 779 en Europa, 591 en China y 525 en India.</t>
  </si>
  <si>
    <t>NREL, componente de energía del almacenamiento</t>
  </si>
  <si>
    <t>Es donde pega el arancel estadounidense sobre celdas chinas. El suministro colombiano medido en tres cotizaciones independientes está en unos 93 USD/kWh antes de indirectos y margen.</t>
  </si>
  <si>
    <t>Suministro de baterías medido, tres cotizaciones</t>
  </si>
  <si>
    <t>S-1 a 87,4 CIF en octubre de 2025 y el contenedor de R3 a 88,2 DAP en junio de 2026. El parámetro del modelo se calibra como residuo del ancla de R3 y coincide con lo medido.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</si>
</sst>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
    <numFmt numFmtId="167" formatCode="0.0%"/>
    <numFmt numFmtId="168" formatCode="\+0.0%;\-0.0%"/>
    <numFmt numFmtId="169" formatCode="#,##0.0000"/>
    <numFmt numFmtId="170" formatCode="0.000"/>
  </numFmts>
  <fonts count="8" x14ac:knownFonts="1">
    <font>
      <sz val="11"/>
      <color theme="1"/>
      <name val="Calibri"/>
      <family val="2"/>
      <charset val="1"/>
    </font>
    <font>
      <b/>
      <sz val="14"/>
      <color rgb="FF002453"/>
      <name val="Arial"/>
      <charset val="1"/>
    </font>
    <font>
      <i/>
      <sz val="9"/>
      <color rgb="FF849199"/>
      <name val="Arial"/>
      <charset val="1"/>
    </font>
    <font>
      <b/>
      <sz val="10"/>
      <name val="Arial"/>
      <charset val="1"/>
    </font>
    <font>
      <sz val="10"/>
      <name val="Arial"/>
      <charset val="1"/>
    </font>
    <font>
      <b/>
      <sz val="11"/>
      <color rgb="FFFFFFFF"/>
      <name val="Arial"/>
      <charset val="1"/>
    </font>
    <font>
      <sz val="10"/>
      <color rgb="FF0000FF"/>
      <name val="Arial"/>
      <charset val="1"/>
    </font>
    <font>
      <sz val="10"/>
      <name val="Arial"/>
      <family val="2"/>
    </font>
  </fonts>
  <fills count="5">
    <fill>
      <patternFill patternType="none"/>
    </fill>
    <fill>
      <patternFill patternType="gray125"/>
    </fill>
    <fill>
      <patternFill patternType="solid">
        <fgColor rgb="FF002453"/>
        <bgColor rgb="FF003300"/>
      </patternFill>
    </fill>
    <fill>
      <patternFill patternType="solid">
        <fgColor rgb="FFFFF2A8"/>
        <bgColor rgb="FFFFFFCC"/>
      </patternFill>
    </fill>
    <fill>
      <patternFill patternType="solid">
        <fgColor rgb="FFE3F2EC"/>
        <bgColor rgb="FFCCFFFF"/>
      </patternFill>
    </fill>
  </fills>
  <borders count="2">
    <border>
      <left/>
      <right/>
      <top/>
      <bottom/>
      <diagonal/>
    </border>
    <border>
      <left style="thin">
        <color rgb="FFB7C0C6"/>
      </left>
      <right style="thin">
        <color rgb="FFB7C0C6"/>
      </right>
      <top style="thin">
        <color rgb="FFB7C0C6"/>
      </top>
      <bottom style="thin">
        <color rgb="FFB7C0C6"/>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4" fillId="0" borderId="1" xfId="0" applyFont="1" applyBorder="1"/>
    <xf numFmtId="0" fontId="6" fillId="0" borderId="1" xfId="0" applyFont="1" applyBorder="1"/>
    <xf numFmtId="4" fontId="6" fillId="3" borderId="1" xfId="0" applyNumberFormat="1" applyFont="1" applyFill="1" applyBorder="1"/>
    <xf numFmtId="164" fontId="6" fillId="3" borderId="1" xfId="0" applyNumberFormat="1" applyFont="1" applyFill="1" applyBorder="1"/>
    <xf numFmtId="4" fontId="4" fillId="0" borderId="1" xfId="0" applyNumberFormat="1" applyFont="1" applyBorder="1"/>
    <xf numFmtId="165" fontId="6" fillId="3" borderId="1" xfId="0" applyNumberFormat="1" applyFont="1" applyFill="1" applyBorder="1"/>
    <xf numFmtId="166" fontId="4" fillId="0" borderId="1" xfId="0" applyNumberFormat="1" applyFont="1" applyBorder="1"/>
    <xf numFmtId="9" fontId="6" fillId="3" borderId="1" xfId="0" applyNumberFormat="1" applyFont="1" applyFill="1" applyBorder="1"/>
    <xf numFmtId="166" fontId="3" fillId="4" borderId="1" xfId="0" applyNumberFormat="1" applyFont="1" applyFill="1" applyBorder="1"/>
    <xf numFmtId="0" fontId="2" fillId="0" borderId="0" xfId="0" applyFont="1" applyAlignment="1">
      <alignment vertical="top" wrapText="1"/>
    </xf>
    <xf numFmtId="0" fontId="2" fillId="0" borderId="1" xfId="0" applyFont="1" applyBorder="1"/>
    <xf numFmtId="0" fontId="4" fillId="0" borderId="1" xfId="0" applyFont="1" applyBorder="1" applyAlignment="1">
      <alignment vertical="center"/>
    </xf>
    <xf numFmtId="0" fontId="4" fillId="0" borderId="1" xfId="0" applyFont="1" applyBorder="1" applyAlignment="1">
      <alignment vertical="center" wrapText="1"/>
    </xf>
    <xf numFmtId="4" fontId="6" fillId="3" borderId="1" xfId="0" applyNumberFormat="1" applyFont="1" applyFill="1" applyBorder="1" applyAlignment="1">
      <alignment vertical="center"/>
    </xf>
    <xf numFmtId="165" fontId="6" fillId="3" borderId="1" xfId="0" applyNumberFormat="1" applyFont="1" applyFill="1" applyBorder="1" applyAlignment="1">
      <alignment vertical="center"/>
    </xf>
    <xf numFmtId="167" fontId="6" fillId="3" borderId="1" xfId="0" applyNumberFormat="1" applyFont="1" applyFill="1" applyBorder="1" applyAlignment="1">
      <alignment vertical="center"/>
    </xf>
    <xf numFmtId="0" fontId="6" fillId="0" borderId="1" xfId="0" applyFont="1" applyBorder="1" applyAlignment="1">
      <alignment vertical="center"/>
    </xf>
    <xf numFmtId="165" fontId="6" fillId="0" borderId="1" xfId="0" applyNumberFormat="1" applyFont="1" applyBorder="1" applyAlignment="1">
      <alignment vertical="center"/>
    </xf>
    <xf numFmtId="165" fontId="4" fillId="0" borderId="1" xfId="0" applyNumberFormat="1" applyFont="1" applyBorder="1"/>
    <xf numFmtId="168" fontId="4" fillId="0" borderId="1" xfId="0" applyNumberFormat="1" applyFont="1" applyBorder="1"/>
    <xf numFmtId="164" fontId="4" fillId="0" borderId="1" xfId="0" applyNumberFormat="1" applyFont="1" applyBorder="1"/>
    <xf numFmtId="164" fontId="3" fillId="4" borderId="1" xfId="0" applyNumberFormat="1" applyFont="1" applyFill="1" applyBorder="1"/>
    <xf numFmtId="169" fontId="6" fillId="3" borderId="1" xfId="0" applyNumberFormat="1" applyFont="1" applyFill="1" applyBorder="1"/>
    <xf numFmtId="165" fontId="3" fillId="4" borderId="1" xfId="0" applyNumberFormat="1" applyFont="1" applyFill="1" applyBorder="1"/>
    <xf numFmtId="0" fontId="2" fillId="0" borderId="1" xfId="0" applyFont="1" applyBorder="1" applyAlignment="1">
      <alignment vertical="center" wrapText="1"/>
    </xf>
    <xf numFmtId="10" fontId="6" fillId="3" borderId="1" xfId="0" applyNumberFormat="1" applyFont="1" applyFill="1" applyBorder="1"/>
    <xf numFmtId="1" fontId="4" fillId="0" borderId="1" xfId="0" applyNumberFormat="1" applyFont="1" applyBorder="1"/>
    <xf numFmtId="170" fontId="4" fillId="0" borderId="1" xfId="0" applyNumberFormat="1" applyFont="1" applyBorder="1"/>
    <xf numFmtId="0" fontId="6" fillId="3" borderId="1" xfId="0" applyFont="1" applyFill="1" applyBorder="1"/>
    <xf numFmtId="0" fontId="4" fillId="0" borderId="0" xfId="0" applyFont="1"/>
    <xf numFmtId="167" fontId="4" fillId="0" borderId="1" xfId="0" applyNumberFormat="1" applyFont="1" applyBorder="1"/>
    <xf numFmtId="1" fontId="6" fillId="3" borderId="1" xfId="0" applyNumberFormat="1" applyFont="1" applyFill="1" applyBorder="1"/>
    <xf numFmtId="167" fontId="6" fillId="3" borderId="1" xfId="0" applyNumberFormat="1" applyFont="1" applyFill="1" applyBorder="1"/>
    <xf numFmtId="0" fontId="4" fillId="0" borderId="1" xfId="0" applyFont="1" applyBorder="1" applyAlignment="1">
      <alignment vertical="top" wrapText="1"/>
    </xf>
    <xf numFmtId="1" fontId="6" fillId="0" borderId="1" xfId="0" applyNumberFormat="1" applyFont="1" applyBorder="1"/>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7A44B"/>
      <rgbColor rgb="FF800080"/>
      <rgbColor rgb="FF008080"/>
      <rgbColor rgb="FFB7C0C6"/>
      <rgbColor rgb="FF878787"/>
      <rgbColor rgb="FF8EA5CA"/>
      <rgbColor rgb="FFAA433F"/>
      <rgbColor rgb="FFFFFFCC"/>
      <rgbColor rgb="FFE3F2EC"/>
      <rgbColor rgb="FF660066"/>
      <rgbColor rgb="FFDB8238"/>
      <rgbColor rgb="FF4A7EBB"/>
      <rgbColor rgb="FFD9D9D9"/>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426FA6"/>
      <rgbColor rgb="FF46AAC4"/>
      <rgbColor rgb="FF98B855"/>
      <rgbColor rgb="FFFFCC00"/>
      <rgbColor rgb="FFFF9900"/>
      <rgbColor rgb="FFFF6600"/>
      <rgbColor rgb="FF6F568D"/>
      <rgbColor rgb="FF849199"/>
      <rgbColor rgb="FF002453"/>
      <rgbColor rgb="FF3D97AF"/>
      <rgbColor rgb="FF003300"/>
      <rgbColor rgb="FF333300"/>
      <rgbColor rgb="FF993300"/>
      <rgbColor rgb="FFBE4B48"/>
      <rgbColor rgb="FF7D5FA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CAPEX almacenamiento por duración (USD/kWh nominal)</a:t>
            </a:r>
          </a:p>
        </c:rich>
      </c:tx>
      <c:overlay val="0"/>
      <c:spPr>
        <a:noFill/>
        <a:ln w="0">
          <a:noFill/>
        </a:ln>
      </c:spPr>
    </c:title>
    <c:autoTitleDeleted val="0"/>
    <c:plotArea>
      <c:layout/>
      <c:scatterChart>
        <c:scatterStyle val="lineMarker"/>
        <c:varyColors val="0"/>
        <c:ser>
          <c:idx val="0"/>
          <c:order val="0"/>
          <c:tx>
            <c:strRef>
              <c:f>Curva_BESS!$B$18</c:f>
              <c:strCache>
                <c:ptCount val="1"/>
                <c:pt idx="0">
                  <c:v>1 h</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Curva_BESS!$A$19:$A$43</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Curva_BESS!$B$19:$B$43</c:f>
              <c:numCache>
                <c:formatCode>\$#,##0.0</c:formatCode>
                <c:ptCount val="25"/>
                <c:pt idx="0">
                  <c:v>279.19443367593749</c:v>
                </c:pt>
                <c:pt idx="1">
                  <c:v>272.37684633871879</c:v>
                </c:pt>
                <c:pt idx="2">
                  <c:v>265.73151591461573</c:v>
                </c:pt>
                <c:pt idx="3">
                  <c:v>259.25395347022925</c:v>
                </c:pt>
                <c:pt idx="4">
                  <c:v>252.93979017153896</c:v>
                </c:pt>
                <c:pt idx="5">
                  <c:v>246.78477400160691</c:v>
                </c:pt>
                <c:pt idx="6">
                  <c:v>240.7847665694766</c:v>
                </c:pt>
                <c:pt idx="7">
                  <c:v>234.9357400077011</c:v>
                </c:pt>
                <c:pt idx="8">
                  <c:v>229.23377395600912</c:v>
                </c:pt>
                <c:pt idx="9">
                  <c:v>223.67505262868653</c:v>
                </c:pt>
                <c:pt idx="10">
                  <c:v>220.60827910216852</c:v>
                </c:pt>
                <c:pt idx="11">
                  <c:v>217.59433196139875</c:v>
                </c:pt>
                <c:pt idx="12">
                  <c:v>214.63218404087047</c:v>
                </c:pt>
                <c:pt idx="13">
                  <c:v>211.72082916201364</c:v>
                </c:pt>
                <c:pt idx="14">
                  <c:v>208.85928169661213</c:v>
                </c:pt>
                <c:pt idx="15">
                  <c:v>206.04657613936035</c:v>
                </c:pt>
                <c:pt idx="16">
                  <c:v>203.28176668936641</c:v>
                </c:pt>
                <c:pt idx="17">
                  <c:v>200.56392684041492</c:v>
                </c:pt>
                <c:pt idx="18">
                  <c:v>197.8921489798056</c:v>
                </c:pt>
                <c:pt idx="19">
                  <c:v>195.26554399558748</c:v>
                </c:pt>
                <c:pt idx="20">
                  <c:v>192.68324089201295</c:v>
                </c:pt>
                <c:pt idx="21">
                  <c:v>190.14438641303911</c:v>
                </c:pt>
                <c:pt idx="22">
                  <c:v>187.64814467370749</c:v>
                </c:pt>
                <c:pt idx="23">
                  <c:v>185.19369679923693</c:v>
                </c:pt>
                <c:pt idx="24">
                  <c:v>182.78024057166812</c:v>
                </c:pt>
              </c:numCache>
            </c:numRef>
          </c:yVal>
          <c:smooth val="1"/>
          <c:extLst>
            <c:ext xmlns:c16="http://schemas.microsoft.com/office/drawing/2014/chart" uri="{C3380CC4-5D6E-409C-BE32-E72D297353CC}">
              <c16:uniqueId val="{00000000-FEC4-4A0D-8BBB-107FAFAE7689}"/>
            </c:ext>
          </c:extLst>
        </c:ser>
        <c:ser>
          <c:idx val="1"/>
          <c:order val="1"/>
          <c:tx>
            <c:strRef>
              <c:f>Curva_BESS!$C$18</c:f>
              <c:strCache>
                <c:ptCount val="1"/>
                <c:pt idx="0">
                  <c:v>2 h</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Curva_BESS!$A$19:$A$43</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Curva_BESS!$C$19:$C$43</c:f>
              <c:numCache>
                <c:formatCode>\$#,##0.0</c:formatCode>
                <c:ptCount val="25"/>
                <c:pt idx="0">
                  <c:v>207.55193250093754</c:v>
                </c:pt>
                <c:pt idx="1">
                  <c:v>202.28505615491883</c:v>
                </c:pt>
                <c:pt idx="2">
                  <c:v>197.1559518419742</c:v>
                </c:pt>
                <c:pt idx="3">
                  <c:v>192.16092202402555</c:v>
                </c:pt>
                <c:pt idx="4">
                  <c:v>187.29637046436656</c:v>
                </c:pt>
                <c:pt idx="5">
                  <c:v>182.55879940787486</c:v>
                </c:pt>
                <c:pt idx="6">
                  <c:v>177.94480684065059</c:v>
                </c:pt>
                <c:pt idx="7">
                  <c:v>173.45108382682534</c:v>
                </c:pt>
                <c:pt idx="8">
                  <c:v>169.07441192034833</c:v>
                </c:pt>
                <c:pt idx="9">
                  <c:v>164.8116606496217</c:v>
                </c:pt>
                <c:pt idx="10">
                  <c:v>162.30935312670817</c:v>
                </c:pt>
                <c:pt idx="11">
                  <c:v>159.8527870265857</c:v>
                </c:pt>
                <c:pt idx="12">
                  <c:v>157.44105010932546</c:v>
                </c:pt>
                <c:pt idx="13">
                  <c:v>155.07324894889459</c:v>
                </c:pt>
                <c:pt idx="14">
                  <c:v>152.74850854050052</c:v>
                </c:pt>
                <c:pt idx="15">
                  <c:v>150.46597191616399</c:v>
                </c:pt>
                <c:pt idx="16">
                  <c:v>148.22479976834799</c:v>
                </c:pt>
                <c:pt idx="17">
                  <c:v>146.0241700814729</c:v>
                </c:pt>
                <c:pt idx="18">
                  <c:v>143.86327777115355</c:v>
                </c:pt>
                <c:pt idx="19">
                  <c:v>141.74133433099504</c:v>
                </c:pt>
                <c:pt idx="20">
                  <c:v>139.65756748678922</c:v>
                </c:pt>
                <c:pt idx="21">
                  <c:v>137.61122085795691</c:v>
                </c:pt>
                <c:pt idx="22">
                  <c:v>135.60155362608248</c:v>
                </c:pt>
                <c:pt idx="23">
                  <c:v>133.62784021039383</c:v>
                </c:pt>
                <c:pt idx="24">
                  <c:v>131.68936995004037</c:v>
                </c:pt>
              </c:numCache>
            </c:numRef>
          </c:yVal>
          <c:smooth val="1"/>
          <c:extLst>
            <c:ext xmlns:c16="http://schemas.microsoft.com/office/drawing/2014/chart" uri="{C3380CC4-5D6E-409C-BE32-E72D297353CC}">
              <c16:uniqueId val="{00000001-FEC4-4A0D-8BBB-107FAFAE7689}"/>
            </c:ext>
          </c:extLst>
        </c:ser>
        <c:ser>
          <c:idx val="2"/>
          <c:order val="2"/>
          <c:tx>
            <c:strRef>
              <c:f>Curva_BESS!$E$18</c:f>
              <c:strCache>
                <c:ptCount val="1"/>
                <c:pt idx="0">
                  <c:v>4 h</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Curva_BESS!$A$19:$A$43</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Curva_BESS!$E$19:$E$43</c:f>
              <c:numCache>
                <c:formatCode>\$#,##0.0</c:formatCode>
                <c:ptCount val="25"/>
                <c:pt idx="0">
                  <c:v>178.60019937593751</c:v>
                </c:pt>
                <c:pt idx="1">
                  <c:v>173.90946251910634</c:v>
                </c:pt>
                <c:pt idx="2">
                  <c:v>169.34503251951435</c:v>
                </c:pt>
                <c:pt idx="3">
                  <c:v>164.90343999608265</c:v>
                </c:pt>
                <c:pt idx="4">
                  <c:v>160.58131232877975</c:v>
                </c:pt>
                <c:pt idx="5">
                  <c:v>156.3753709291862</c:v>
                </c:pt>
                <c:pt idx="6">
                  <c:v>152.28242858868785</c:v>
                </c:pt>
                <c:pt idx="7">
                  <c:v>148.29938690207666</c:v>
                </c:pt>
                <c:pt idx="8">
                  <c:v>144.4232337644022</c:v>
                </c:pt>
                <c:pt idx="9">
                  <c:v>140.65104093897887</c:v>
                </c:pt>
                <c:pt idx="10">
                  <c:v>138.32027381601094</c:v>
                </c:pt>
                <c:pt idx="11">
                  <c:v>136.03403017899436</c:v>
                </c:pt>
                <c:pt idx="12">
                  <c:v>133.79140643535203</c:v>
                </c:pt>
                <c:pt idx="13">
                  <c:v>131.59151774500637</c:v>
                </c:pt>
                <c:pt idx="14">
                  <c:v>129.4334976281599</c:v>
                </c:pt>
                <c:pt idx="15">
                  <c:v>127.31649758130104</c:v>
                </c:pt>
                <c:pt idx="16">
                  <c:v>125.23968670126251</c:v>
                </c:pt>
                <c:pt idx="17">
                  <c:v>123.20225131716374</c:v>
                </c:pt>
                <c:pt idx="18">
                  <c:v>121.20339463007099</c:v>
                </c:pt>
                <c:pt idx="19">
                  <c:v>119.24233636021415</c:v>
                </c:pt>
                <c:pt idx="20">
                  <c:v>117.31831240160092</c:v>
                </c:pt>
                <c:pt idx="21">
                  <c:v>115.43057448387341</c:v>
                </c:pt>
                <c:pt idx="22">
                  <c:v>113.57838984125502</c:v>
                </c:pt>
                <c:pt idx="23">
                  <c:v>111.7610408884386</c:v>
                </c:pt>
                <c:pt idx="24">
                  <c:v>109.97782490327104</c:v>
                </c:pt>
              </c:numCache>
            </c:numRef>
          </c:yVal>
          <c:smooth val="1"/>
          <c:extLst>
            <c:ext xmlns:c16="http://schemas.microsoft.com/office/drawing/2014/chart" uri="{C3380CC4-5D6E-409C-BE32-E72D297353CC}">
              <c16:uniqueId val="{00000002-FEC4-4A0D-8BBB-107FAFAE7689}"/>
            </c:ext>
          </c:extLst>
        </c:ser>
        <c:ser>
          <c:idx val="3"/>
          <c:order val="3"/>
          <c:tx>
            <c:strRef>
              <c:f>Curva_BESS!$G$18</c:f>
              <c:strCache>
                <c:ptCount val="1"/>
                <c:pt idx="0">
                  <c:v>6 h</c:v>
                </c:pt>
              </c:strCache>
            </c:strRef>
          </c:tx>
          <c:spPr>
            <a:ln w="28440">
              <a:solidFill>
                <a:srgbClr val="7D5FA0"/>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Curva_BESS!$A$19:$A$43</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Curva_BESS!$G$19:$G$43</c:f>
              <c:numCache>
                <c:formatCode>\$#,##0.0</c:formatCode>
                <c:ptCount val="25"/>
                <c:pt idx="0">
                  <c:v>168.94962166760413</c:v>
                </c:pt>
                <c:pt idx="1">
                  <c:v>164.45093130716879</c:v>
                </c:pt>
                <c:pt idx="2">
                  <c:v>160.0747260786944</c:v>
                </c:pt>
                <c:pt idx="3">
                  <c:v>155.81761265343502</c:v>
                </c:pt>
                <c:pt idx="4">
                  <c:v>151.6762929502508</c:v>
                </c:pt>
                <c:pt idx="5">
                  <c:v>147.64756143629</c:v>
                </c:pt>
                <c:pt idx="6">
                  <c:v>143.72830250470028</c:v>
                </c:pt>
                <c:pt idx="7">
                  <c:v>139.91548792716046</c:v>
                </c:pt>
                <c:pt idx="8">
                  <c:v>136.20617437908683</c:v>
                </c:pt>
                <c:pt idx="9">
                  <c:v>132.59750103543124</c:v>
                </c:pt>
                <c:pt idx="10">
                  <c:v>130.32391404577851</c:v>
                </c:pt>
                <c:pt idx="11">
                  <c:v>128.09444456313059</c:v>
                </c:pt>
                <c:pt idx="12">
                  <c:v>125.90819187736091</c:v>
                </c:pt>
                <c:pt idx="13">
                  <c:v>123.76427401037697</c:v>
                </c:pt>
                <c:pt idx="14">
                  <c:v>121.66182732404639</c:v>
                </c:pt>
                <c:pt idx="15">
                  <c:v>119.60000613634671</c:v>
                </c:pt>
                <c:pt idx="16">
                  <c:v>117.57798234556735</c:v>
                </c:pt>
                <c:pt idx="17">
                  <c:v>115.59494506239403</c:v>
                </c:pt>
                <c:pt idx="18">
                  <c:v>113.65010024971014</c:v>
                </c:pt>
                <c:pt idx="19">
                  <c:v>111.74267036995384</c:v>
                </c:pt>
                <c:pt idx="20">
                  <c:v>109.87189403987148</c:v>
                </c:pt>
                <c:pt idx="21">
                  <c:v>108.03702569251226</c:v>
                </c:pt>
                <c:pt idx="22">
                  <c:v>106.2373352463125</c:v>
                </c:pt>
                <c:pt idx="23">
                  <c:v>104.4721077811202</c:v>
                </c:pt>
                <c:pt idx="24">
                  <c:v>102.74064322101459</c:v>
                </c:pt>
              </c:numCache>
            </c:numRef>
          </c:yVal>
          <c:smooth val="1"/>
          <c:extLst>
            <c:ext xmlns:c16="http://schemas.microsoft.com/office/drawing/2014/chart" uri="{C3380CC4-5D6E-409C-BE32-E72D297353CC}">
              <c16:uniqueId val="{00000003-FEC4-4A0D-8BBB-107FAFAE7689}"/>
            </c:ext>
          </c:extLst>
        </c:ser>
        <c:ser>
          <c:idx val="4"/>
          <c:order val="4"/>
          <c:tx>
            <c:strRef>
              <c:f>Curva_BESS!$I$18</c:f>
              <c:strCache>
                <c:ptCount val="1"/>
                <c:pt idx="0">
                  <c:v>8 h</c:v>
                </c:pt>
              </c:strCache>
            </c:strRef>
          </c:tx>
          <c:spPr>
            <a:ln w="28440">
              <a:solidFill>
                <a:srgbClr val="46AAC4"/>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Curva_BESS!$A$19:$A$43</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Curva_BESS!$I$19:$I$43</c:f>
              <c:numCache>
                <c:formatCode>\$#,##0.0</c:formatCode>
                <c:ptCount val="25"/>
                <c:pt idx="0">
                  <c:v>164.12433281343752</c:v>
                </c:pt>
                <c:pt idx="1">
                  <c:v>159.72166570120007</c:v>
                </c:pt>
                <c:pt idx="2">
                  <c:v>155.43957285828444</c:v>
                </c:pt>
                <c:pt idx="3">
                  <c:v>151.27469898211123</c:v>
                </c:pt>
                <c:pt idx="4">
                  <c:v>147.22378326098632</c:v>
                </c:pt>
                <c:pt idx="5">
                  <c:v>143.28365668984188</c:v>
                </c:pt>
                <c:pt idx="6">
                  <c:v>139.4512394627065</c:v>
                </c:pt>
                <c:pt idx="7">
                  <c:v>135.72353843970234</c:v>
                </c:pt>
                <c:pt idx="8">
                  <c:v>132.09764468642911</c:v>
                </c:pt>
                <c:pt idx="9">
                  <c:v>128.57073108365745</c:v>
                </c:pt>
                <c:pt idx="10">
                  <c:v>126.32573416066229</c:v>
                </c:pt>
                <c:pt idx="11">
                  <c:v>124.12465175519871</c:v>
                </c:pt>
                <c:pt idx="12">
                  <c:v>121.9665845983653</c:v>
                </c:pt>
                <c:pt idx="13">
                  <c:v>119.85065214306226</c:v>
                </c:pt>
                <c:pt idx="14">
                  <c:v>117.77599217198961</c:v>
                </c:pt>
                <c:pt idx="15">
                  <c:v>115.74176041386953</c:v>
                </c:pt>
                <c:pt idx="16">
                  <c:v>113.7471301677198</c:v>
                </c:pt>
                <c:pt idx="17">
                  <c:v>111.79129193500916</c:v>
                </c:pt>
                <c:pt idx="18">
                  <c:v>109.87345305952971</c:v>
                </c:pt>
                <c:pt idx="19">
                  <c:v>107.99283737482371</c:v>
                </c:pt>
                <c:pt idx="20">
                  <c:v>106.14868485900675</c:v>
                </c:pt>
                <c:pt idx="21">
                  <c:v>104.34025129683167</c:v>
                </c:pt>
                <c:pt idx="22">
                  <c:v>102.56680794884126</c:v>
                </c:pt>
                <c:pt idx="23">
                  <c:v>100.827641227461</c:v>
                </c:pt>
                <c:pt idx="24">
                  <c:v>99.122052379886341</c:v>
                </c:pt>
              </c:numCache>
            </c:numRef>
          </c:yVal>
          <c:smooth val="1"/>
          <c:extLst>
            <c:ext xmlns:c16="http://schemas.microsoft.com/office/drawing/2014/chart" uri="{C3380CC4-5D6E-409C-BE32-E72D297353CC}">
              <c16:uniqueId val="{00000004-FEC4-4A0D-8BBB-107FAFAE7689}"/>
            </c:ext>
          </c:extLst>
        </c:ser>
        <c:dLbls>
          <c:showLegendKey val="0"/>
          <c:showVal val="0"/>
          <c:showCatName val="0"/>
          <c:showSerName val="0"/>
          <c:showPercent val="0"/>
          <c:showBubbleSize val="0"/>
        </c:dLbls>
        <c:axId val="62508261"/>
        <c:axId val="30671380"/>
      </c:scatterChart>
      <c:valAx>
        <c:axId val="6250826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30671380"/>
        <c:crosses val="autoZero"/>
        <c:crossBetween val="midCat"/>
      </c:valAx>
      <c:valAx>
        <c:axId val="3067138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USD/kWh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62508261"/>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CO" sz="1800" b="1" strike="noStrike" spc="-1">
                <a:solidFill>
                  <a:srgbClr val="000000"/>
                </a:solidFill>
                <a:latin typeface="Calibri"/>
              </a:rPr>
              <a:t>CAPEX solar por escala (USD/kWp DC)</a:t>
            </a:r>
          </a:p>
        </c:rich>
      </c:tx>
      <c:overlay val="0"/>
      <c:spPr>
        <a:noFill/>
        <a:ln w="0">
          <a:noFill/>
        </a:ln>
      </c:spPr>
    </c:title>
    <c:autoTitleDeleted val="0"/>
    <c:plotArea>
      <c:layout/>
      <c:scatterChart>
        <c:scatterStyle val="lineMarker"/>
        <c:varyColors val="0"/>
        <c:ser>
          <c:idx val="0"/>
          <c:order val="0"/>
          <c:tx>
            <c:strRef>
              <c:f>Curva_PV!$B$9</c:f>
              <c:strCache>
                <c:ptCount val="1"/>
                <c:pt idx="0">
                  <c:v>1 MWp</c:v>
                </c:pt>
              </c:strCache>
            </c:strRef>
          </c:tx>
          <c:spPr>
            <a:ln w="28440">
              <a:solidFill>
                <a:srgbClr val="426FA6"/>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Curva_PV!$B$10:$B$34</c:f>
              <c:numCache>
                <c:formatCode>\$#,##0</c:formatCode>
                <c:ptCount val="25"/>
                <c:pt idx="0">
                  <c:v>945.62480810929094</c:v>
                </c:pt>
                <c:pt idx="1">
                  <c:v>909.12145745650355</c:v>
                </c:pt>
                <c:pt idx="2">
                  <c:v>874.28361912288858</c:v>
                </c:pt>
                <c:pt idx="3">
                  <c:v>841.028283434748</c:v>
                </c:pt>
                <c:pt idx="4">
                  <c:v>809.27674049435052</c:v>
                </c:pt>
                <c:pt idx="5">
                  <c:v>778.9543540117794</c:v>
                </c:pt>
                <c:pt idx="6">
                  <c:v>749.99034710352294</c:v>
                </c:pt>
                <c:pt idx="7">
                  <c:v>722.31759942322867</c:v>
                </c:pt>
                <c:pt idx="8">
                  <c:v>695.87245502371502</c:v>
                </c:pt>
                <c:pt idx="9">
                  <c:v>670.59454038123124</c:v>
                </c:pt>
                <c:pt idx="10">
                  <c:v>658.36797640521934</c:v>
                </c:pt>
                <c:pt idx="11">
                  <c:v>646.45218131561614</c:v>
                </c:pt>
                <c:pt idx="12">
                  <c:v>634.83822984486312</c:v>
                </c:pt>
                <c:pt idx="13">
                  <c:v>623.51746165905456</c:v>
                </c:pt>
                <c:pt idx="14">
                  <c:v>612.48147342998266</c:v>
                </c:pt>
                <c:pt idx="15">
                  <c:v>601.72211114487595</c:v>
                </c:pt>
                <c:pt idx="16">
                  <c:v>591.23146264670618</c:v>
                </c:pt>
                <c:pt idx="17">
                  <c:v>581.0018503981446</c:v>
                </c:pt>
                <c:pt idx="18">
                  <c:v>571.02582446246083</c:v>
                </c:pt>
                <c:pt idx="19">
                  <c:v>561.29615569485622</c:v>
                </c:pt>
                <c:pt idx="20">
                  <c:v>551.80582913791909</c:v>
                </c:pt>
                <c:pt idx="21">
                  <c:v>542.54803761508151</c:v>
                </c:pt>
                <c:pt idx="22">
                  <c:v>533.51617551613469</c:v>
                </c:pt>
                <c:pt idx="23">
                  <c:v>524.70383276904681</c:v>
                </c:pt>
                <c:pt idx="24">
                  <c:v>516.10478899249108</c:v>
                </c:pt>
              </c:numCache>
            </c:numRef>
          </c:yVal>
          <c:smooth val="1"/>
          <c:extLst>
            <c:ext xmlns:c16="http://schemas.microsoft.com/office/drawing/2014/chart" uri="{C3380CC4-5D6E-409C-BE32-E72D297353CC}">
              <c16:uniqueId val="{00000000-5155-4FA3-86EF-118F159E2B1F}"/>
            </c:ext>
          </c:extLst>
        </c:ser>
        <c:ser>
          <c:idx val="1"/>
          <c:order val="1"/>
          <c:tx>
            <c:strRef>
              <c:f>Curva_PV!$C$9</c:f>
              <c:strCache>
                <c:ptCount val="1"/>
                <c:pt idx="0">
                  <c:v>5 MWp</c:v>
                </c:pt>
              </c:strCache>
            </c:strRef>
          </c:tx>
          <c:spPr>
            <a:ln w="28440">
              <a:solidFill>
                <a:srgbClr val="AA433F"/>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Curva_PV!$C$10:$C$34</c:f>
              <c:numCache>
                <c:formatCode>\$#,##0</c:formatCode>
                <c:ptCount val="25"/>
                <c:pt idx="0">
                  <c:v>841.05064478745419</c:v>
                </c:pt>
                <c:pt idx="1">
                  <c:v>809.02792117613285</c:v>
                </c:pt>
                <c:pt idx="2">
                  <c:v>778.45412658259727</c:v>
                </c:pt>
                <c:pt idx="3">
                  <c:v>749.25732728036246</c:v>
                </c:pt>
                <c:pt idx="4">
                  <c:v>721.36930963617192</c:v>
                </c:pt>
                <c:pt idx="5">
                  <c:v>694.72538455484369</c:v>
                </c:pt>
                <c:pt idx="6">
                  <c:v>669.26420226865275</c:v>
                </c:pt>
                <c:pt idx="7">
                  <c:v>644.9275769227487</c:v>
                </c:pt>
                <c:pt idx="8">
                  <c:v>621.6603204372002</c:v>
                </c:pt>
                <c:pt idx="9">
                  <c:v>599.41008515383828</c:v>
                </c:pt>
                <c:pt idx="10">
                  <c:v>588.70184700864365</c:v>
                </c:pt>
                <c:pt idx="11">
                  <c:v>578.26321015049803</c:v>
                </c:pt>
                <c:pt idx="12">
                  <c:v>568.08645322637665</c:v>
                </c:pt>
                <c:pt idx="13">
                  <c:v>558.16408392037818</c:v>
                </c:pt>
                <c:pt idx="14">
                  <c:v>548.488832101095</c:v>
                </c:pt>
                <c:pt idx="15">
                  <c:v>539.0536431744323</c:v>
                </c:pt>
                <c:pt idx="16">
                  <c:v>529.85167163571123</c:v>
                </c:pt>
                <c:pt idx="17">
                  <c:v>520.87627481508059</c:v>
                </c:pt>
                <c:pt idx="18">
                  <c:v>512.12100681043671</c:v>
                </c:pt>
                <c:pt idx="19">
                  <c:v>503.57961260222959</c:v>
                </c:pt>
                <c:pt idx="20">
                  <c:v>495.24602234469643</c:v>
                </c:pt>
                <c:pt idx="21">
                  <c:v>487.11434582823347</c:v>
                </c:pt>
                <c:pt idx="22">
                  <c:v>479.17886710777179</c:v>
                </c:pt>
                <c:pt idx="23">
                  <c:v>471.43403929217789</c:v>
                </c:pt>
                <c:pt idx="24">
                  <c:v>463.87447948984857</c:v>
                </c:pt>
              </c:numCache>
            </c:numRef>
          </c:yVal>
          <c:smooth val="1"/>
          <c:extLst>
            <c:ext xmlns:c16="http://schemas.microsoft.com/office/drawing/2014/chart" uri="{C3380CC4-5D6E-409C-BE32-E72D297353CC}">
              <c16:uniqueId val="{00000001-5155-4FA3-86EF-118F159E2B1F}"/>
            </c:ext>
          </c:extLst>
        </c:ser>
        <c:ser>
          <c:idx val="2"/>
          <c:order val="2"/>
          <c:tx>
            <c:strRef>
              <c:f>Curva_PV!$D$9</c:f>
              <c:strCache>
                <c:ptCount val="1"/>
                <c:pt idx="0">
                  <c:v>10 MWp</c:v>
                </c:pt>
              </c:strCache>
            </c:strRef>
          </c:tx>
          <c:spPr>
            <a:ln w="28440">
              <a:solidFill>
                <a:srgbClr val="87A44B"/>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Curva_PV!$D$10:$D$34</c:f>
              <c:numCache>
                <c:formatCode>\$#,##0</c:formatCode>
                <c:ptCount val="25"/>
                <c:pt idx="0">
                  <c:v>800.04902066863269</c:v>
                </c:pt>
                <c:pt idx="1">
                  <c:v>758.66018158336931</c:v>
                </c:pt>
                <c:pt idx="2">
                  <c:v>720.10184804553035</c:v>
                </c:pt>
                <c:pt idx="3">
                  <c:v>684.15955182393179</c:v>
                </c:pt>
                <c:pt idx="4">
                  <c:v>650.63555412944766</c:v>
                </c:pt>
                <c:pt idx="5">
                  <c:v>619.34753073100308</c:v>
                </c:pt>
                <c:pt idx="6">
                  <c:v>590.12736061684348</c:v>
                </c:pt>
                <c:pt idx="7">
                  <c:v>562.82001004306164</c:v>
                </c:pt>
                <c:pt idx="8">
                  <c:v>537.28250445418143</c:v>
                </c:pt>
                <c:pt idx="9">
                  <c:v>513.382981352775</c:v>
                </c:pt>
                <c:pt idx="10">
                  <c:v>505.27609812203855</c:v>
                </c:pt>
                <c:pt idx="11">
                  <c:v>497.35482926085223</c:v>
                </c:pt>
                <c:pt idx="12">
                  <c:v>489.61418171438203</c:v>
                </c:pt>
                <c:pt idx="13">
                  <c:v>482.04930335651693</c:v>
                </c:pt>
                <c:pt idx="14">
                  <c:v>474.65547896205555</c:v>
                </c:pt>
                <c:pt idx="15">
                  <c:v>467.42812629437094</c:v>
                </c:pt>
                <c:pt idx="16">
                  <c:v>460.36279230524127</c:v>
                </c:pt>
                <c:pt idx="17">
                  <c:v>453.45514944362748</c:v>
                </c:pt>
                <c:pt idx="18">
                  <c:v>446.70099207027147</c:v>
                </c:pt>
                <c:pt idx="19">
                  <c:v>440.09623297507937</c:v>
                </c:pt>
                <c:pt idx="20">
                  <c:v>433.63689999434104</c:v>
                </c:pt>
                <c:pt idx="21">
                  <c:v>427.31913272491983</c:v>
                </c:pt>
                <c:pt idx="22">
                  <c:v>421.13917933263207</c:v>
                </c:pt>
                <c:pt idx="23">
                  <c:v>415.09339345211271</c:v>
                </c:pt>
                <c:pt idx="24">
                  <c:v>409.17823117554349</c:v>
                </c:pt>
              </c:numCache>
            </c:numRef>
          </c:yVal>
          <c:smooth val="1"/>
          <c:extLst>
            <c:ext xmlns:c16="http://schemas.microsoft.com/office/drawing/2014/chart" uri="{C3380CC4-5D6E-409C-BE32-E72D297353CC}">
              <c16:uniqueId val="{00000002-5155-4FA3-86EF-118F159E2B1F}"/>
            </c:ext>
          </c:extLst>
        </c:ser>
        <c:ser>
          <c:idx val="3"/>
          <c:order val="3"/>
          <c:tx>
            <c:strRef>
              <c:f>Curva_PV!$E$9</c:f>
              <c:strCache>
                <c:ptCount val="1"/>
                <c:pt idx="0">
                  <c:v>20 MWp</c:v>
                </c:pt>
              </c:strCache>
            </c:strRef>
          </c:tx>
          <c:spPr>
            <a:ln w="28440">
              <a:solidFill>
                <a:srgbClr val="6F568D"/>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Curva_PV!$E$10:$E$34</c:f>
              <c:numCache>
                <c:formatCode>\$#,##0</c:formatCode>
                <c:ptCount val="25"/>
                <c:pt idx="0">
                  <c:v>761.2818250966817</c:v>
                </c:pt>
                <c:pt idx="1">
                  <c:v>722.21462873119208</c:v>
                </c:pt>
                <c:pt idx="2">
                  <c:v>685.80958339140534</c:v>
                </c:pt>
                <c:pt idx="3">
                  <c:v>651.86519682304959</c:v>
                </c:pt>
                <c:pt idx="4">
                  <c:v>620.19568948508288</c:v>
                </c:pt>
                <c:pt idx="5">
                  <c:v>590.62975966893123</c:v>
                </c:pt>
                <c:pt idx="6">
                  <c:v>563.00944586103844</c:v>
                </c:pt>
                <c:pt idx="7">
                  <c:v>537.18907868725262</c:v>
                </c:pt>
                <c:pt idx="8">
                  <c:v>513.03431538127597</c:v>
                </c:pt>
                <c:pt idx="9">
                  <c:v>490.42125027552805</c:v>
                </c:pt>
                <c:pt idx="10">
                  <c:v>482.74897965814392</c:v>
                </c:pt>
                <c:pt idx="11">
                  <c:v>475.25144319069341</c:v>
                </c:pt>
                <c:pt idx="12">
                  <c:v>467.92394876919269</c:v>
                </c:pt>
                <c:pt idx="13">
                  <c:v>460.76193666140273</c:v>
                </c:pt>
                <c:pt idx="14">
                  <c:v>453.76097572403103</c:v>
                </c:pt>
                <c:pt idx="15">
                  <c:v>446.91675972838368</c:v>
                </c:pt>
                <c:pt idx="16">
                  <c:v>440.22510379135724</c:v>
                </c:pt>
                <c:pt idx="17">
                  <c:v>433.68194090874653</c:v>
                </c:pt>
                <c:pt idx="18">
                  <c:v>427.28331858793371</c:v>
                </c:pt>
                <c:pt idx="19">
                  <c:v>421.02539557710691</c:v>
                </c:pt>
                <c:pt idx="20">
                  <c:v>414.90443868823905</c:v>
                </c:pt>
                <c:pt idx="21">
                  <c:v>408.91681971113599</c:v>
                </c:pt>
                <c:pt idx="22">
                  <c:v>403.05901241594177</c:v>
                </c:pt>
                <c:pt idx="23">
                  <c:v>397.32758964156284</c:v>
                </c:pt>
                <c:pt idx="24">
                  <c:v>391.71922046754679</c:v>
                </c:pt>
              </c:numCache>
            </c:numRef>
          </c:yVal>
          <c:smooth val="1"/>
          <c:extLst>
            <c:ext xmlns:c16="http://schemas.microsoft.com/office/drawing/2014/chart" uri="{C3380CC4-5D6E-409C-BE32-E72D297353CC}">
              <c16:uniqueId val="{00000003-5155-4FA3-86EF-118F159E2B1F}"/>
            </c:ext>
          </c:extLst>
        </c:ser>
        <c:ser>
          <c:idx val="4"/>
          <c:order val="4"/>
          <c:tx>
            <c:strRef>
              <c:f>Curva_PV!$F$9</c:f>
              <c:strCache>
                <c:ptCount val="1"/>
                <c:pt idx="0">
                  <c:v>50 MWp</c:v>
                </c:pt>
              </c:strCache>
            </c:strRef>
          </c:tx>
          <c:spPr>
            <a:ln w="28440">
              <a:solidFill>
                <a:srgbClr val="3D97AF"/>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Curva_PV!$F$10:$F$34</c:f>
              <c:numCache>
                <c:formatCode>\$#,##0</c:formatCode>
                <c:ptCount val="25"/>
                <c:pt idx="0">
                  <c:v>713.25153332608284</c:v>
                </c:pt>
                <c:pt idx="1">
                  <c:v>677.04550706680868</c:v>
                </c:pt>
                <c:pt idx="2">
                  <c:v>643.29455160488544</c:v>
                </c:pt>
                <c:pt idx="3">
                  <c:v>611.81312684651243</c:v>
                </c:pt>
                <c:pt idx="4">
                  <c:v>582.43015565952828</c:v>
                </c:pt>
                <c:pt idx="5">
                  <c:v>554.98788732822891</c:v>
                </c:pt>
                <c:pt idx="6">
                  <c:v>529.34085050553585</c:v>
                </c:pt>
                <c:pt idx="7">
                  <c:v>505.35488861136548</c:v>
                </c:pt>
                <c:pt idx="8">
                  <c:v>482.90627118165497</c:v>
                </c:pt>
                <c:pt idx="9">
                  <c:v>461.88087518432775</c:v>
                </c:pt>
                <c:pt idx="10">
                  <c:v>454.7450536780085</c:v>
                </c:pt>
                <c:pt idx="11">
                  <c:v>447.7705771156792</c:v>
                </c:pt>
                <c:pt idx="12">
                  <c:v>440.95312341469332</c:v>
                </c:pt>
                <c:pt idx="13">
                  <c:v>434.2884923457039</c:v>
                </c:pt>
                <c:pt idx="14">
                  <c:v>427.77260205102613</c:v>
                </c:pt>
                <c:pt idx="15">
                  <c:v>421.40148566281238</c:v>
                </c:pt>
                <c:pt idx="16">
                  <c:v>415.17128801817694</c:v>
                </c:pt>
                <c:pt idx="17">
                  <c:v>409.07826246848583</c:v>
                </c:pt>
                <c:pt idx="18">
                  <c:v>403.11876778011418</c:v>
                </c:pt>
                <c:pt idx="19">
                  <c:v>397.28926512404303</c:v>
                </c:pt>
                <c:pt idx="20">
                  <c:v>391.58631515174864</c:v>
                </c:pt>
                <c:pt idx="21">
                  <c:v>386.00657515490815</c:v>
                </c:pt>
                <c:pt idx="22">
                  <c:v>380.54679630651606</c:v>
                </c:pt>
                <c:pt idx="23">
                  <c:v>375.203820981077</c:v>
                </c:pt>
                <c:pt idx="24">
                  <c:v>369.97458015160549</c:v>
                </c:pt>
              </c:numCache>
            </c:numRef>
          </c:yVal>
          <c:smooth val="1"/>
          <c:extLst>
            <c:ext xmlns:c16="http://schemas.microsoft.com/office/drawing/2014/chart" uri="{C3380CC4-5D6E-409C-BE32-E72D297353CC}">
              <c16:uniqueId val="{00000004-5155-4FA3-86EF-118F159E2B1F}"/>
            </c:ext>
          </c:extLst>
        </c:ser>
        <c:ser>
          <c:idx val="5"/>
          <c:order val="5"/>
          <c:tx>
            <c:strRef>
              <c:f>Curva_PV!$G$9</c:f>
              <c:strCache>
                <c:ptCount val="1"/>
                <c:pt idx="0">
                  <c:v>100 MWp</c:v>
                </c:pt>
              </c:strCache>
            </c:strRef>
          </c:tx>
          <c:spPr>
            <a:ln w="28440">
              <a:solidFill>
                <a:srgbClr val="DB8238"/>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Curva_PV!$G$10:$G$34</c:f>
              <c:numCache>
                <c:formatCode>\$#,##0</c:formatCode>
                <c:ptCount val="25"/>
                <c:pt idx="0">
                  <c:v>679.20121469663877</c:v>
                </c:pt>
                <c:pt idx="1">
                  <c:v>645.01263364970509</c:v>
                </c:pt>
                <c:pt idx="2">
                  <c:v>613.13339654331367</c:v>
                </c:pt>
                <c:pt idx="3">
                  <c:v>583.38918292824428</c:v>
                </c:pt>
                <c:pt idx="4">
                  <c:v>555.61925645519466</c:v>
                </c:pt>
                <c:pt idx="5">
                  <c:v>529.67539747950173</c:v>
                </c:pt>
                <c:pt idx="6">
                  <c:v>505.42091971627701</c:v>
                </c:pt>
                <c:pt idx="7">
                  <c:v>482.72976432398713</c:v>
                </c:pt>
                <c:pt idx="8">
                  <c:v>461.48566531629069</c:v>
                </c:pt>
                <c:pt idx="9">
                  <c:v>441.58138068262218</c:v>
                </c:pt>
                <c:pt idx="10">
                  <c:v>434.82442067619809</c:v>
                </c:pt>
                <c:pt idx="11">
                  <c:v>428.21937880006215</c:v>
                </c:pt>
                <c:pt idx="12">
                  <c:v>421.76219325089079</c:v>
                </c:pt>
                <c:pt idx="13">
                  <c:v>415.44891668156163</c:v>
                </c:pt>
                <c:pt idx="14">
                  <c:v>409.27571293129563</c:v>
                </c:pt>
                <c:pt idx="15">
                  <c:v>403.23885384953707</c:v>
                </c:pt>
                <c:pt idx="16">
                  <c:v>397.33471621088142</c:v>
                </c:pt>
                <c:pt idx="17">
                  <c:v>391.55977871844073</c:v>
                </c:pt>
                <c:pt idx="18">
                  <c:v>385.91061909310713</c:v>
                </c:pt>
                <c:pt idx="19">
                  <c:v>380.38391124625093</c:v>
                </c:pt>
                <c:pt idx="20">
                  <c:v>374.97642253345964</c:v>
                </c:pt>
                <c:pt idx="21">
                  <c:v>369.68501108699166</c:v>
                </c:pt>
                <c:pt idx="22">
                  <c:v>364.50662322468753</c:v>
                </c:pt>
                <c:pt idx="23">
                  <c:v>359.43829093314474</c:v>
                </c:pt>
                <c:pt idx="24">
                  <c:v>354.47712942302473</c:v>
                </c:pt>
              </c:numCache>
            </c:numRef>
          </c:yVal>
          <c:smooth val="1"/>
          <c:extLst>
            <c:ext xmlns:c16="http://schemas.microsoft.com/office/drawing/2014/chart" uri="{C3380CC4-5D6E-409C-BE32-E72D297353CC}">
              <c16:uniqueId val="{00000005-5155-4FA3-86EF-118F159E2B1F}"/>
            </c:ext>
          </c:extLst>
        </c:ser>
        <c:ser>
          <c:idx val="6"/>
          <c:order val="6"/>
          <c:tx>
            <c:strRef>
              <c:f>Curva_PV!$H$9</c:f>
              <c:strCache>
                <c:ptCount val="1"/>
                <c:pt idx="0">
                  <c:v>200 MWp</c:v>
                </c:pt>
              </c:strCache>
            </c:strRef>
          </c:tx>
          <c:spPr>
            <a:ln w="28440">
              <a:solidFill>
                <a:srgbClr val="8EA5CA"/>
              </a:solidFill>
              <a:round/>
            </a:ln>
          </c:spPr>
          <c:marker>
            <c:symbol val="none"/>
          </c:marker>
          <c:dLbls>
            <c:spPr>
              <a:noFill/>
              <a:ln>
                <a:noFill/>
              </a:ln>
              <a:effectLst/>
            </c:spPr>
            <c:txPr>
              <a:bodyPr wrap="none"/>
              <a:lstStyle/>
              <a:p>
                <a:pPr>
                  <a:defRPr sz="1000" b="0" strike="noStrike" spc="-1">
                    <a:latin typeface="Arial"/>
                  </a:defRPr>
                </a:pPr>
                <a:endParaRPr lang="es-CO"/>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Curva_PV!$A$10:$A$34</c:f>
              <c:numCache>
                <c:formatCode>0</c:formatCode>
                <c:ptCount val="25"/>
                <c:pt idx="0">
                  <c:v>2026</c:v>
                </c:pt>
                <c:pt idx="1">
                  <c:v>2027</c:v>
                </c:pt>
                <c:pt idx="2">
                  <c:v>2028</c:v>
                </c:pt>
                <c:pt idx="3">
                  <c:v>2029</c:v>
                </c:pt>
                <c:pt idx="4">
                  <c:v>2030</c:v>
                </c:pt>
                <c:pt idx="5">
                  <c:v>2031</c:v>
                </c:pt>
                <c:pt idx="6">
                  <c:v>2032</c:v>
                </c:pt>
                <c:pt idx="7">
                  <c:v>2033</c:v>
                </c:pt>
                <c:pt idx="8">
                  <c:v>2034</c:v>
                </c:pt>
                <c:pt idx="9">
                  <c:v>2035</c:v>
                </c:pt>
                <c:pt idx="10">
                  <c:v>2036</c:v>
                </c:pt>
                <c:pt idx="11">
                  <c:v>2037</c:v>
                </c:pt>
                <c:pt idx="12">
                  <c:v>2038</c:v>
                </c:pt>
                <c:pt idx="13">
                  <c:v>2039</c:v>
                </c:pt>
                <c:pt idx="14">
                  <c:v>2040</c:v>
                </c:pt>
                <c:pt idx="15">
                  <c:v>2041</c:v>
                </c:pt>
                <c:pt idx="16">
                  <c:v>2042</c:v>
                </c:pt>
                <c:pt idx="17">
                  <c:v>2043</c:v>
                </c:pt>
                <c:pt idx="18">
                  <c:v>2044</c:v>
                </c:pt>
                <c:pt idx="19">
                  <c:v>2045</c:v>
                </c:pt>
                <c:pt idx="20">
                  <c:v>2046</c:v>
                </c:pt>
                <c:pt idx="21">
                  <c:v>2047</c:v>
                </c:pt>
                <c:pt idx="22">
                  <c:v>2048</c:v>
                </c:pt>
                <c:pt idx="23">
                  <c:v>2049</c:v>
                </c:pt>
                <c:pt idx="24">
                  <c:v>2050</c:v>
                </c:pt>
              </c:numCache>
            </c:numRef>
          </c:xVal>
          <c:yVal>
            <c:numRef>
              <c:f>Curva_PV!$H$10:$H$34</c:f>
              <c:numCache>
                <c:formatCode>\$#,##0</c:formatCode>
                <c:ptCount val="25"/>
                <c:pt idx="0">
                  <c:v>646.99592454192964</c:v>
                </c:pt>
                <c:pt idx="1">
                  <c:v>614.70651914975974</c:v>
                </c:pt>
                <c:pt idx="2">
                  <c:v>584.58951082060423</c:v>
                </c:pt>
                <c:pt idx="3">
                  <c:v>556.48111762672738</c:v>
                </c:pt>
                <c:pt idx="4">
                  <c:v>530.2303163373781</c:v>
                </c:pt>
                <c:pt idx="5">
                  <c:v>505.69783996511478</c:v>
                </c:pt>
                <c:pt idx="6">
                  <c:v>482.75525424713885</c:v>
                </c:pt>
                <c:pt idx="7">
                  <c:v>461.28410684272109</c:v>
                </c:pt>
                <c:pt idx="8">
                  <c:v>441.17514351782933</c:v>
                </c:pt>
                <c:pt idx="9">
                  <c:v>422.32758603948218</c:v>
                </c:pt>
                <c:pt idx="10">
                  <c:v>415.9277752306121</c:v>
                </c:pt>
                <c:pt idx="11">
                  <c:v>409.67101995649222</c:v>
                </c:pt>
                <c:pt idx="12">
                  <c:v>403.55350291842717</c:v>
                </c:pt>
                <c:pt idx="13">
                  <c:v>397.57151432658827</c:v>
                </c:pt>
                <c:pt idx="14">
                  <c:v>391.72144882904757</c:v>
                </c:pt>
                <c:pt idx="15">
                  <c:v>385.99980252884455</c:v>
                </c:pt>
                <c:pt idx="16">
                  <c:v>380.40317008656075</c:v>
                </c:pt>
                <c:pt idx="17">
                  <c:v>374.92824190594951</c:v>
                </c:pt>
                <c:pt idx="18">
                  <c:v>369.57180140023553</c:v>
                </c:pt>
                <c:pt idx="19">
                  <c:v>364.33072233677302</c:v>
                </c:pt>
                <c:pt idx="20">
                  <c:v>359.20196625781108</c:v>
                </c:pt>
                <c:pt idx="21">
                  <c:v>354.18257997518549</c:v>
                </c:pt>
                <c:pt idx="22">
                  <c:v>349.26969313681349</c:v>
                </c:pt>
                <c:pt idx="23">
                  <c:v>344.46051586293362</c:v>
                </c:pt>
                <c:pt idx="24">
                  <c:v>339.75233645008825</c:v>
                </c:pt>
              </c:numCache>
            </c:numRef>
          </c:yVal>
          <c:smooth val="1"/>
          <c:extLst>
            <c:ext xmlns:c16="http://schemas.microsoft.com/office/drawing/2014/chart" uri="{C3380CC4-5D6E-409C-BE32-E72D297353CC}">
              <c16:uniqueId val="{00000006-5155-4FA3-86EF-118F159E2B1F}"/>
            </c:ext>
          </c:extLst>
        </c:ser>
        <c:dLbls>
          <c:showLegendKey val="0"/>
          <c:showVal val="0"/>
          <c:showCatName val="0"/>
          <c:showSerName val="0"/>
          <c:showPercent val="0"/>
          <c:showBubbleSize val="0"/>
        </c:dLbls>
        <c:axId val="73694631"/>
        <c:axId val="13134917"/>
      </c:scatterChart>
      <c:valAx>
        <c:axId val="7369463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s-CO" sz="1000" b="1" strike="noStrike" spc="-1">
                    <a:solidFill>
                      <a:srgbClr val="000000"/>
                    </a:solidFill>
                    <a:latin typeface="Calibri"/>
                  </a:rPr>
                  <a:t>Año</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13134917"/>
        <c:crosses val="autoZero"/>
        <c:crossBetween val="midCat"/>
      </c:valAx>
      <c:valAx>
        <c:axId val="1313491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CO" sz="1000" b="1" strike="noStrike" spc="-1">
                    <a:solidFill>
                      <a:srgbClr val="000000"/>
                    </a:solidFill>
                    <a:latin typeface="Calibri"/>
                  </a:rPr>
                  <a:t>USD/kWp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CO"/>
          </a:p>
        </c:txPr>
        <c:crossAx val="73694631"/>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O"/>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xdr:row>
      <xdr:rowOff>160920</xdr:rowOff>
    </xdr:from>
    <xdr:to>
      <xdr:col>20</xdr:col>
      <xdr:colOff>364680</xdr:colOff>
      <xdr:row>20</xdr:row>
      <xdr:rowOff>93240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160920</xdr:rowOff>
    </xdr:from>
    <xdr:to>
      <xdr:col>19</xdr:col>
      <xdr:colOff>364320</xdr:colOff>
      <xdr:row>20</xdr:row>
      <xdr:rowOff>93240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zoomScaleNormal="100" workbookViewId="0"/>
  </sheetViews>
  <sheetFormatPr baseColWidth="10" defaultColWidth="8.6328125" defaultRowHeight="14.5" x14ac:dyDescent="0.35"/>
  <cols>
    <col min="1" max="1" width="40" customWidth="1"/>
    <col min="2" max="2" width="112" customWidth="1"/>
  </cols>
  <sheetData>
    <row r="1" spans="1:2" ht="18" x14ac:dyDescent="0.4">
      <c r="A1" s="1" t="s">
        <v>0</v>
      </c>
    </row>
    <row r="2" spans="1:2" x14ac:dyDescent="0.35">
      <c r="A2" s="2" t="s">
        <v>1</v>
      </c>
    </row>
    <row r="4" spans="1:2" ht="90" customHeight="1" x14ac:dyDescent="0.35">
      <c r="A4" s="3" t="s">
        <v>2</v>
      </c>
      <c r="B4" s="4" t="s">
        <v>3</v>
      </c>
    </row>
    <row r="5" spans="1:2" ht="75" customHeight="1" x14ac:dyDescent="0.35">
      <c r="A5" s="3" t="s">
        <v>4</v>
      </c>
      <c r="B5" s="4" t="s">
        <v>5</v>
      </c>
    </row>
    <row r="6" spans="1:2" ht="60" customHeight="1" x14ac:dyDescent="0.35">
      <c r="A6" s="3" t="s">
        <v>6</v>
      </c>
      <c r="B6" s="4" t="s">
        <v>7</v>
      </c>
    </row>
    <row r="7" spans="1:2" ht="75" customHeight="1" x14ac:dyDescent="0.35">
      <c r="A7" s="3" t="s">
        <v>8</v>
      </c>
      <c r="B7" s="4" t="s">
        <v>9</v>
      </c>
    </row>
    <row r="8" spans="1:2" ht="105" customHeight="1" x14ac:dyDescent="0.35">
      <c r="A8" s="3" t="s">
        <v>10</v>
      </c>
      <c r="B8" s="4" t="s">
        <v>11</v>
      </c>
    </row>
    <row r="9" spans="1:2" ht="105" customHeight="1" x14ac:dyDescent="0.35">
      <c r="A9" s="3" t="s">
        <v>12</v>
      </c>
      <c r="B9" s="4" t="s">
        <v>13</v>
      </c>
    </row>
    <row r="10" spans="1:2" ht="60" customHeight="1" x14ac:dyDescent="0.35">
      <c r="A10" s="3" t="s">
        <v>14</v>
      </c>
      <c r="B10" s="4" t="s">
        <v>15</v>
      </c>
    </row>
    <row r="11" spans="1:2" ht="105" customHeight="1" x14ac:dyDescent="0.35">
      <c r="A11" s="3" t="s">
        <v>16</v>
      </c>
      <c r="B11" s="4" t="s">
        <v>17</v>
      </c>
    </row>
    <row r="12" spans="1:2" ht="45" customHeight="1" x14ac:dyDescent="0.35">
      <c r="A12" s="3" t="s">
        <v>18</v>
      </c>
      <c r="B12" s="4" t="s">
        <v>19</v>
      </c>
    </row>
    <row r="13" spans="1:2" ht="90" customHeight="1" x14ac:dyDescent="0.35">
      <c r="A13" s="3" t="s">
        <v>20</v>
      </c>
      <c r="B13" s="4"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showGridLines="0" zoomScaleNormal="100" workbookViewId="0"/>
  </sheetViews>
  <sheetFormatPr baseColWidth="10" defaultColWidth="8.6328125" defaultRowHeight="14.5" x14ac:dyDescent="0.35"/>
  <cols>
    <col min="1" max="1" width="52" customWidth="1"/>
    <col min="2" max="2" width="12" customWidth="1"/>
    <col min="3" max="3" width="18" customWidth="1"/>
    <col min="4" max="4" width="12" customWidth="1"/>
    <col min="5" max="5" width="10" customWidth="1"/>
    <col min="6" max="6" width="9" customWidth="1"/>
    <col min="7" max="7" width="14" customWidth="1"/>
    <col min="8" max="9" width="11" customWidth="1"/>
    <col min="10" max="10" width="12" customWidth="1"/>
  </cols>
  <sheetData>
    <row r="1" spans="1:10" ht="18" x14ac:dyDescent="0.4">
      <c r="A1" s="1" t="s">
        <v>22</v>
      </c>
    </row>
    <row r="2" spans="1:10" x14ac:dyDescent="0.35">
      <c r="A2" s="2" t="s">
        <v>23</v>
      </c>
    </row>
    <row r="4" spans="1:10" ht="33.75" customHeight="1" x14ac:dyDescent="0.35">
      <c r="A4" s="5" t="s">
        <v>24</v>
      </c>
      <c r="B4" s="5" t="s">
        <v>25</v>
      </c>
      <c r="C4" s="5" t="s">
        <v>26</v>
      </c>
      <c r="D4" s="5" t="s">
        <v>27</v>
      </c>
      <c r="E4" s="5" t="s">
        <v>28</v>
      </c>
      <c r="F4" s="5" t="s">
        <v>29</v>
      </c>
      <c r="G4" s="5" t="s">
        <v>30</v>
      </c>
      <c r="H4" s="5" t="s">
        <v>31</v>
      </c>
      <c r="I4" s="5" t="s">
        <v>32</v>
      </c>
      <c r="J4" s="5" t="s">
        <v>33</v>
      </c>
    </row>
    <row r="5" spans="1:10" x14ac:dyDescent="0.35">
      <c r="A5" s="6" t="s">
        <v>34</v>
      </c>
      <c r="B5" s="7" t="s">
        <v>35</v>
      </c>
      <c r="C5" s="7" t="s">
        <v>36</v>
      </c>
      <c r="D5" s="8">
        <v>25.06</v>
      </c>
      <c r="E5" s="9">
        <v>10</v>
      </c>
      <c r="F5" s="10">
        <f>E5/D5</f>
        <v>0.39904229848363931</v>
      </c>
      <c r="G5" s="11">
        <v>2191375</v>
      </c>
      <c r="H5" s="12">
        <f>G5/(D5*1000)</f>
        <v>87.445131683958493</v>
      </c>
      <c r="I5" s="13">
        <v>0</v>
      </c>
      <c r="J5" s="14">
        <f>H5*(1+I5)</f>
        <v>87.445131683958493</v>
      </c>
    </row>
    <row r="6" spans="1:10" x14ac:dyDescent="0.35">
      <c r="A6" s="6" t="s">
        <v>37</v>
      </c>
      <c r="B6" s="7" t="s">
        <v>38</v>
      </c>
      <c r="C6" s="7" t="s">
        <v>39</v>
      </c>
      <c r="D6" s="8">
        <v>40</v>
      </c>
      <c r="E6" s="9">
        <v>10</v>
      </c>
      <c r="F6" s="10">
        <f>E6/D6</f>
        <v>0.25</v>
      </c>
      <c r="G6" s="11">
        <v>3526404</v>
      </c>
      <c r="H6" s="12">
        <f>G6/(D6*1000)</f>
        <v>88.1601</v>
      </c>
      <c r="I6" s="13">
        <v>0</v>
      </c>
      <c r="J6" s="14">
        <f>H6*(1+I6)</f>
        <v>88.1601</v>
      </c>
    </row>
    <row r="7" spans="1:10" x14ac:dyDescent="0.35">
      <c r="A7" s="6" t="s">
        <v>40</v>
      </c>
      <c r="B7" s="7" t="s">
        <v>41</v>
      </c>
      <c r="C7" s="7" t="s">
        <v>42</v>
      </c>
      <c r="D7" s="8">
        <v>151.06</v>
      </c>
      <c r="E7" s="9">
        <v>90</v>
      </c>
      <c r="F7" s="10">
        <f>E7/D7</f>
        <v>0.59578975241625842</v>
      </c>
      <c r="G7" s="11">
        <v>17992344</v>
      </c>
      <c r="H7" s="12">
        <f>G7/(D7*1000)</f>
        <v>119.10726863497948</v>
      </c>
      <c r="I7" s="13">
        <v>0.05</v>
      </c>
      <c r="J7" s="14">
        <f>H7*(1+I7)</f>
        <v>125.06263206672845</v>
      </c>
    </row>
    <row r="9" spans="1:10" ht="43.5" customHeight="1" x14ac:dyDescent="0.35">
      <c r="A9" s="15" t="s">
        <v>43</v>
      </c>
    </row>
    <row r="11" spans="1:10" x14ac:dyDescent="0.35">
      <c r="A11" s="3" t="s">
        <v>44</v>
      </c>
    </row>
    <row r="12" spans="1:10" ht="33.75" customHeight="1" x14ac:dyDescent="0.35">
      <c r="A12" s="5" t="s">
        <v>45</v>
      </c>
      <c r="B12" s="5" t="s">
        <v>46</v>
      </c>
      <c r="C12" s="5" t="s">
        <v>47</v>
      </c>
      <c r="D12" s="5" t="s">
        <v>48</v>
      </c>
    </row>
    <row r="13" spans="1:10" x14ac:dyDescent="0.35">
      <c r="A13" s="8">
        <v>0.5</v>
      </c>
      <c r="B13" s="8">
        <v>0.22</v>
      </c>
      <c r="C13" s="10">
        <f>1+MAX(0,0.6-A13)*B13</f>
        <v>1.022</v>
      </c>
      <c r="D13" s="10">
        <f>1+MAX(0,1-A13)*B13</f>
        <v>1.1100000000000001</v>
      </c>
    </row>
    <row r="15" spans="1:10" ht="60" customHeight="1" x14ac:dyDescent="0.35">
      <c r="A15" s="15" t="s">
        <v>49</v>
      </c>
    </row>
    <row r="17" spans="1:3" x14ac:dyDescent="0.35">
      <c r="A17" s="3" t="s">
        <v>50</v>
      </c>
    </row>
    <row r="18" spans="1:3" ht="33.75" customHeight="1" x14ac:dyDescent="0.35">
      <c r="A18" s="5" t="s">
        <v>51</v>
      </c>
      <c r="B18" s="5" t="s">
        <v>52</v>
      </c>
      <c r="C18" s="5" t="s">
        <v>53</v>
      </c>
    </row>
    <row r="19" spans="1:3" x14ac:dyDescent="0.35">
      <c r="A19" s="6" t="s">
        <v>54</v>
      </c>
      <c r="B19" s="8">
        <v>1.05</v>
      </c>
      <c r="C19" s="16" t="s">
        <v>55</v>
      </c>
    </row>
    <row r="20" spans="1:3" x14ac:dyDescent="0.35">
      <c r="A20" s="6" t="s">
        <v>56</v>
      </c>
      <c r="B20" s="8">
        <v>1.25</v>
      </c>
      <c r="C20" s="16" t="s">
        <v>57</v>
      </c>
    </row>
    <row r="21" spans="1:3" x14ac:dyDescent="0.35">
      <c r="A21" s="6" t="s">
        <v>58</v>
      </c>
      <c r="B21" s="8">
        <v>1.6</v>
      </c>
      <c r="C21" s="16" t="s">
        <v>59</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
  <sheetViews>
    <sheetView showGridLines="0" zoomScaleNormal="100" workbookViewId="0"/>
  </sheetViews>
  <sheetFormatPr baseColWidth="10" defaultColWidth="8.6328125" defaultRowHeight="14.5" x14ac:dyDescent="0.35"/>
  <cols>
    <col min="1" max="1" width="6" customWidth="1"/>
    <col min="2" max="2" width="40" customWidth="1"/>
    <col min="3" max="3" width="10" customWidth="1"/>
    <col min="4" max="4" width="13" customWidth="1"/>
    <col min="5" max="7" width="11" customWidth="1"/>
    <col min="8" max="9" width="8" customWidth="1"/>
    <col min="10" max="10" width="9" customWidth="1"/>
    <col min="11" max="11" width="12" customWidth="1"/>
    <col min="12" max="14" width="10" customWidth="1"/>
    <col min="15" max="16" width="14" customWidth="1"/>
    <col min="17" max="17" width="9" customWidth="1"/>
  </cols>
  <sheetData>
    <row r="1" spans="1:17" ht="18" x14ac:dyDescent="0.4">
      <c r="A1" s="1" t="s">
        <v>60</v>
      </c>
    </row>
    <row r="2" spans="1:17" x14ac:dyDescent="0.35">
      <c r="A2" s="2" t="s">
        <v>61</v>
      </c>
    </row>
    <row r="4" spans="1:17" ht="42" customHeight="1" x14ac:dyDescent="0.35">
      <c r="A4" s="5" t="s">
        <v>62</v>
      </c>
      <c r="B4" s="5" t="s">
        <v>63</v>
      </c>
      <c r="C4" s="5" t="s">
        <v>64</v>
      </c>
      <c r="D4" s="5" t="s">
        <v>65</v>
      </c>
      <c r="E4" s="5" t="s">
        <v>66</v>
      </c>
      <c r="F4" s="5" t="s">
        <v>67</v>
      </c>
      <c r="G4" s="5" t="s">
        <v>68</v>
      </c>
      <c r="H4" s="5" t="s">
        <v>69</v>
      </c>
      <c r="I4" s="5" t="s">
        <v>70</v>
      </c>
      <c r="J4" s="5" t="s">
        <v>71</v>
      </c>
      <c r="K4" s="5" t="s">
        <v>72</v>
      </c>
      <c r="L4" s="5" t="s">
        <v>73</v>
      </c>
      <c r="M4" s="5" t="s">
        <v>74</v>
      </c>
      <c r="N4" s="5" t="s">
        <v>75</v>
      </c>
      <c r="O4" s="5" t="s">
        <v>76</v>
      </c>
      <c r="P4" s="5" t="s">
        <v>77</v>
      </c>
      <c r="Q4" s="5" t="s">
        <v>78</v>
      </c>
    </row>
    <row r="5" spans="1:17" x14ac:dyDescent="0.35">
      <c r="A5" s="17" t="s">
        <v>79</v>
      </c>
      <c r="B5" s="18" t="s">
        <v>80</v>
      </c>
      <c r="C5" s="17" t="s">
        <v>81</v>
      </c>
      <c r="D5" s="19">
        <v>320.10000000000002</v>
      </c>
      <c r="E5" s="19">
        <v>5</v>
      </c>
      <c r="F5" s="19">
        <v>20</v>
      </c>
      <c r="G5" s="20">
        <v>15000</v>
      </c>
      <c r="H5" s="21">
        <v>5.3999999999999999E-2</v>
      </c>
      <c r="I5" s="21">
        <v>1.4999999999999999E-2</v>
      </c>
      <c r="J5" s="21">
        <v>0.2</v>
      </c>
      <c r="K5" s="22" t="s">
        <v>82</v>
      </c>
      <c r="L5" s="22">
        <v>0.15</v>
      </c>
      <c r="M5" s="22">
        <v>0.3</v>
      </c>
      <c r="N5" s="19">
        <v>1</v>
      </c>
      <c r="O5" s="23">
        <v>154500</v>
      </c>
      <c r="P5" s="24">
        <f>(D5*(1+MAX(0,L5/M5-Suministro_BESS!$A$13)*Suministro_BESS!$B$13)*M5*N5*1000+E5*M5*1000+F5*L5*1000+G5)*(1+H5)*(1+I5)/(1-J5)</f>
        <v>154493.936625</v>
      </c>
      <c r="Q5" s="25">
        <f>P5/O5-1</f>
        <v>-3.9245145631028322E-5</v>
      </c>
    </row>
    <row r="6" spans="1:17" x14ac:dyDescent="0.35">
      <c r="A6" s="17" t="s">
        <v>83</v>
      </c>
      <c r="B6" s="18" t="s">
        <v>84</v>
      </c>
      <c r="C6" s="17" t="s">
        <v>85</v>
      </c>
      <c r="D6" s="19">
        <v>141.80000000000001</v>
      </c>
      <c r="E6" s="19">
        <v>5</v>
      </c>
      <c r="F6" s="19">
        <v>43.5</v>
      </c>
      <c r="G6" s="20">
        <v>200000</v>
      </c>
      <c r="H6" s="21">
        <v>5.3999999999999999E-2</v>
      </c>
      <c r="I6" s="21">
        <v>1.4999999999999999E-2</v>
      </c>
      <c r="J6" s="21">
        <v>0.2</v>
      </c>
      <c r="K6" s="22" t="s">
        <v>86</v>
      </c>
      <c r="L6" s="22">
        <v>5</v>
      </c>
      <c r="M6" s="22">
        <v>20</v>
      </c>
      <c r="N6" s="19">
        <v>1</v>
      </c>
      <c r="O6" s="23">
        <v>4485000</v>
      </c>
      <c r="P6" s="24">
        <f>(D6*(1+MAX(0,L6/M6-Suministro_BESS!$A$13)*Suministro_BESS!$B$13)*M6*N6*1000+E6*M6*1000+F6*L6*1000+G6)*(1+H6)*(1+I6)/(1-J6)</f>
        <v>4484509.7937499993</v>
      </c>
      <c r="Q6" s="25">
        <f>P6/O6-1</f>
        <v>-1.0929905239709381E-4</v>
      </c>
    </row>
    <row r="7" spans="1:17" x14ac:dyDescent="0.35">
      <c r="A7" s="17" t="s">
        <v>87</v>
      </c>
      <c r="B7" s="18" t="s">
        <v>88</v>
      </c>
      <c r="C7" s="17" t="s">
        <v>89</v>
      </c>
      <c r="D7" s="19">
        <v>93.4</v>
      </c>
      <c r="E7" s="19">
        <v>5.35</v>
      </c>
      <c r="F7" s="19">
        <v>86.6</v>
      </c>
      <c r="G7" s="20">
        <v>526263</v>
      </c>
      <c r="H7" s="21">
        <v>5.3999999999999999E-2</v>
      </c>
      <c r="I7" s="21">
        <v>1.4999999999999999E-2</v>
      </c>
      <c r="J7" s="21">
        <v>0.2</v>
      </c>
      <c r="K7" s="22" t="s">
        <v>90</v>
      </c>
      <c r="L7" s="22">
        <v>10</v>
      </c>
      <c r="M7" s="22">
        <v>40</v>
      </c>
      <c r="N7" s="19">
        <v>1</v>
      </c>
      <c r="O7" s="23">
        <v>7146475</v>
      </c>
      <c r="P7" s="24">
        <f>(D7*(1+MAX(0,L7/M7-Suministro_BESS!$A$13)*Suministro_BESS!$B$13)*M7*N7*1000+E7*M7*1000+F7*L7*1000+G7)*(1+H7)*(1+I7)/(1-J7)</f>
        <v>7144007.9750374993</v>
      </c>
      <c r="Q7" s="25">
        <f>P7/O7-1</f>
        <v>-3.4520864657061612E-4</v>
      </c>
    </row>
    <row r="8" spans="1:17" x14ac:dyDescent="0.35">
      <c r="A8" s="17" t="s">
        <v>91</v>
      </c>
      <c r="B8" s="18" t="s">
        <v>92</v>
      </c>
      <c r="C8" s="17" t="s">
        <v>93</v>
      </c>
      <c r="D8" s="19">
        <v>93.4</v>
      </c>
      <c r="E8" s="19">
        <v>5.35</v>
      </c>
      <c r="F8" s="19">
        <v>203.4</v>
      </c>
      <c r="G8" s="20">
        <v>900000</v>
      </c>
      <c r="H8" s="21">
        <v>5.3999999999999999E-2</v>
      </c>
      <c r="I8" s="21">
        <v>1.4999999999999999E-2</v>
      </c>
      <c r="J8" s="21">
        <v>0.2</v>
      </c>
      <c r="K8" s="22" t="s">
        <v>94</v>
      </c>
      <c r="L8" s="22">
        <v>20</v>
      </c>
      <c r="M8" s="22">
        <v>40</v>
      </c>
      <c r="N8" s="19">
        <v>1</v>
      </c>
      <c r="O8" s="23">
        <v>11926580</v>
      </c>
      <c r="P8" s="24">
        <f>(D8*(1+MAX(0,L8/M8-Suministro_BESS!$A$13)*Suministro_BESS!$B$13)*M8*N8*1000+E8*M8*1000+F8*L8*1000+G8)*(1+H8)*(1+I8)/(1-J8)</f>
        <v>11925706.974999998</v>
      </c>
      <c r="Q8" s="25">
        <f>P8/O8-1</f>
        <v>-7.3199944996993338E-5</v>
      </c>
    </row>
    <row r="10" spans="1:17" ht="33.75" customHeight="1" x14ac:dyDescent="0.35">
      <c r="A10" s="15" t="s">
        <v>95</v>
      </c>
    </row>
    <row r="12" spans="1:17" x14ac:dyDescent="0.35">
      <c r="A12" s="3" t="s">
        <v>96</v>
      </c>
    </row>
    <row r="13" spans="1:17" ht="33.75" customHeight="1" x14ac:dyDescent="0.35">
      <c r="A13" s="5" t="s">
        <v>97</v>
      </c>
      <c r="B13" s="5" t="s">
        <v>62</v>
      </c>
      <c r="C13" s="5" t="s">
        <v>28</v>
      </c>
      <c r="D13" s="5" t="s">
        <v>74</v>
      </c>
      <c r="E13" s="5" t="s">
        <v>75</v>
      </c>
      <c r="F13" s="5" t="s">
        <v>98</v>
      </c>
      <c r="G13" s="5" t="s">
        <v>99</v>
      </c>
      <c r="H13" s="5" t="s">
        <v>100</v>
      </c>
      <c r="I13" s="5" t="s">
        <v>78</v>
      </c>
    </row>
    <row r="14" spans="1:17" x14ac:dyDescent="0.35">
      <c r="A14" s="6" t="s">
        <v>101</v>
      </c>
      <c r="B14" s="7" t="s">
        <v>91</v>
      </c>
      <c r="C14" s="8">
        <v>90</v>
      </c>
      <c r="D14" s="9">
        <v>360</v>
      </c>
      <c r="E14" s="8">
        <v>1</v>
      </c>
      <c r="F14" s="26">
        <f>D14*E14</f>
        <v>360</v>
      </c>
      <c r="G14" s="11">
        <v>70179605</v>
      </c>
      <c r="H14" s="24">
        <f>(INDEX($D$5:$D$8,MATCH($B14,$A$5:$A$8,0))*(1+MAX(0,C14/D14-Suministro_BESS!$A$13)*Suministro_BESS!$B$13)*F14*1000+INDEX($E$5:$E$8,MATCH($B14,$A$5:$A$8,0))*D14*1000+INDEX($F$5:$F$8,MATCH($B14,$A$5:$A$8,0))*C14*1000+INDEX($G$5:$G$8,MATCH($B14,$A$5:$A$8,0)))*(1+INDEX($H$5:$H$8,MATCH($B14,$A$5:$A$8,0)))*(1+INDEX($I$5:$I$8,MATCH($B14,$A$5:$A$8,0)))/(1-INDEX($J$5:$J$8,MATCH($B14,$A$5:$A$8,0)))</f>
        <v>73223145.449999988</v>
      </c>
      <c r="I14" s="25">
        <f>H14/G14-1</f>
        <v>4.3367876607455891E-2</v>
      </c>
    </row>
    <row r="15" spans="1:17" x14ac:dyDescent="0.35">
      <c r="A15" s="6" t="s">
        <v>102</v>
      </c>
      <c r="B15" s="7" t="s">
        <v>87</v>
      </c>
      <c r="C15" s="8">
        <v>6.25</v>
      </c>
      <c r="D15" s="9">
        <v>25</v>
      </c>
      <c r="E15" s="8">
        <v>1.6</v>
      </c>
      <c r="F15" s="26">
        <f>D15*E15</f>
        <v>40</v>
      </c>
      <c r="G15" s="11">
        <v>6610100</v>
      </c>
      <c r="H15" s="24">
        <f>(INDEX($D$5:$D$8,MATCH($B15,$A$5:$A$8,0))*(1+MAX(0,C15/D15-Suministro_BESS!$A$13)*Suministro_BESS!$B$13)*F15*1000+INDEX($E$5:$E$8,MATCH($B15,$A$5:$A$8,0))*D15*1000+INDEX($F$5:$F$8,MATCH($B15,$A$5:$A$8,0))*C15*1000+INDEX($G$5:$G$8,MATCH($B15,$A$5:$A$8,0)))*(1+INDEX($H$5:$H$8,MATCH($B15,$A$5:$A$8,0)))*(1+INDEX($I$5:$I$8,MATCH($B15,$A$5:$A$8,0)))/(1-INDEX($J$5:$J$8,MATCH($B15,$A$5:$A$8,0)))</f>
        <v>6602416.6625374993</v>
      </c>
      <c r="I15" s="25">
        <f>H15/G15-1</f>
        <v>-1.1623632717358001E-3</v>
      </c>
    </row>
    <row r="17" spans="1:1" ht="21.75" customHeight="1" x14ac:dyDescent="0.35">
      <c r="A17" s="15" t="s">
        <v>103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
  <sheetViews>
    <sheetView showGridLines="0" zoomScaleNormal="100" workbookViewId="0"/>
  </sheetViews>
  <sheetFormatPr baseColWidth="10" defaultColWidth="8.6328125" defaultRowHeight="14.5" x14ac:dyDescent="0.35"/>
  <cols>
    <col min="1" max="1" width="56" customWidth="1"/>
    <col min="2" max="2" width="17" customWidth="1"/>
    <col min="3" max="4" width="16" customWidth="1"/>
    <col min="5" max="5" width="13" customWidth="1"/>
    <col min="6" max="6" width="12" customWidth="1"/>
    <col min="7" max="7" width="9" customWidth="1"/>
  </cols>
  <sheetData>
    <row r="1" spans="1:4" ht="18" x14ac:dyDescent="0.4">
      <c r="A1" s="1" t="s">
        <v>104</v>
      </c>
    </row>
    <row r="2" spans="1:4" x14ac:dyDescent="0.35">
      <c r="A2" s="2" t="s">
        <v>105</v>
      </c>
    </row>
    <row r="4" spans="1:4" x14ac:dyDescent="0.35">
      <c r="A4" s="3" t="s">
        <v>106</v>
      </c>
    </row>
    <row r="5" spans="1:4" ht="33.75" customHeight="1" x14ac:dyDescent="0.35">
      <c r="A5" s="5" t="s">
        <v>107</v>
      </c>
      <c r="B5" s="5" t="s">
        <v>108</v>
      </c>
      <c r="C5" s="5" t="s">
        <v>109</v>
      </c>
      <c r="D5" s="5" t="s">
        <v>110</v>
      </c>
    </row>
    <row r="6" spans="1:4" x14ac:dyDescent="0.35">
      <c r="A6" s="6" t="s">
        <v>111</v>
      </c>
      <c r="B6" s="6" t="s">
        <v>112</v>
      </c>
      <c r="C6" s="9">
        <v>154.30000000000001</v>
      </c>
      <c r="D6" s="10">
        <v>1.27</v>
      </c>
    </row>
    <row r="7" spans="1:4" x14ac:dyDescent="0.35">
      <c r="A7" s="6" t="s">
        <v>113</v>
      </c>
      <c r="B7" s="6" t="s">
        <v>112</v>
      </c>
      <c r="C7" s="9">
        <v>67.099999999999994</v>
      </c>
      <c r="D7" s="10">
        <v>1.31</v>
      </c>
    </row>
    <row r="8" spans="1:4" x14ac:dyDescent="0.35">
      <c r="A8" s="6" t="s">
        <v>114</v>
      </c>
      <c r="B8" s="6" t="s">
        <v>112</v>
      </c>
      <c r="C8" s="9">
        <v>21.9</v>
      </c>
      <c r="D8" s="10">
        <v>1.1499999999999999</v>
      </c>
    </row>
    <row r="9" spans="1:4" x14ac:dyDescent="0.35">
      <c r="A9" s="6" t="s">
        <v>115</v>
      </c>
      <c r="B9" s="6" t="s">
        <v>112</v>
      </c>
      <c r="C9" s="9">
        <v>61.8</v>
      </c>
      <c r="D9" s="10">
        <v>2.81</v>
      </c>
    </row>
    <row r="10" spans="1:4" x14ac:dyDescent="0.35">
      <c r="A10" s="6" t="s">
        <v>116</v>
      </c>
      <c r="B10" s="6" t="s">
        <v>112</v>
      </c>
      <c r="C10" s="9">
        <v>41.8</v>
      </c>
      <c r="D10" s="10" t="s">
        <v>117</v>
      </c>
    </row>
    <row r="11" spans="1:4" x14ac:dyDescent="0.35">
      <c r="A11" s="6" t="s">
        <v>118</v>
      </c>
      <c r="B11" s="6" t="s">
        <v>119</v>
      </c>
      <c r="C11" s="9">
        <v>87.1</v>
      </c>
      <c r="D11" s="10" t="s">
        <v>117</v>
      </c>
    </row>
    <row r="12" spans="1:4" x14ac:dyDescent="0.35">
      <c r="A12" s="6" t="s">
        <v>120</v>
      </c>
      <c r="B12" s="6" t="s">
        <v>119</v>
      </c>
      <c r="C12" s="9">
        <v>92.1</v>
      </c>
      <c r="D12" s="10">
        <v>0.97</v>
      </c>
    </row>
    <row r="13" spans="1:4" x14ac:dyDescent="0.35">
      <c r="A13" s="6" t="s">
        <v>121</v>
      </c>
      <c r="B13" s="6" t="s">
        <v>119</v>
      </c>
      <c r="C13" s="9">
        <v>13.3</v>
      </c>
      <c r="D13" s="10">
        <v>0.79</v>
      </c>
    </row>
    <row r="14" spans="1:4" x14ac:dyDescent="0.35">
      <c r="A14" s="6" t="s">
        <v>122</v>
      </c>
      <c r="B14" s="6" t="s">
        <v>119</v>
      </c>
      <c r="C14" s="9">
        <v>16.3</v>
      </c>
      <c r="D14" s="10" t="s">
        <v>117</v>
      </c>
    </row>
    <row r="15" spans="1:4" x14ac:dyDescent="0.35">
      <c r="A15" s="6" t="s">
        <v>123</v>
      </c>
      <c r="B15" s="6" t="s">
        <v>119</v>
      </c>
      <c r="C15" s="9">
        <v>34.700000000000003</v>
      </c>
      <c r="D15" s="10" t="s">
        <v>117</v>
      </c>
    </row>
    <row r="16" spans="1:4" x14ac:dyDescent="0.35">
      <c r="A16" s="6" t="s">
        <v>124</v>
      </c>
      <c r="C16" s="27">
        <f>SUMIF($B$6:$B$15,"Global",$C$6:$C$15)</f>
        <v>346.90000000000003</v>
      </c>
    </row>
    <row r="17" spans="1:7" x14ac:dyDescent="0.35">
      <c r="A17" s="6" t="s">
        <v>125</v>
      </c>
      <c r="C17" s="27">
        <f>SUMIF($B$6:$B$15,"Local",$C$6:$C$15)</f>
        <v>243.5</v>
      </c>
    </row>
    <row r="18" spans="1:7" x14ac:dyDescent="0.35">
      <c r="A18" s="3" t="s">
        <v>126</v>
      </c>
      <c r="C18" s="9">
        <v>48.8</v>
      </c>
    </row>
    <row r="19" spans="1:7" x14ac:dyDescent="0.35">
      <c r="A19" s="6" t="s">
        <v>127</v>
      </c>
      <c r="C19" s="27">
        <f>C16+C17+C18</f>
        <v>639.20000000000005</v>
      </c>
    </row>
    <row r="20" spans="1:7" x14ac:dyDescent="0.35">
      <c r="A20" s="3" t="s">
        <v>128</v>
      </c>
      <c r="C20" s="28">
        <v>1.2719</v>
      </c>
    </row>
    <row r="21" spans="1:7" x14ac:dyDescent="0.35">
      <c r="A21" s="6" t="s">
        <v>129</v>
      </c>
      <c r="C21" s="29">
        <f>C19*C20</f>
        <v>812.99848000000009</v>
      </c>
    </row>
    <row r="23" spans="1:7" ht="30" customHeight="1" x14ac:dyDescent="0.35">
      <c r="A23" s="15" t="s">
        <v>130</v>
      </c>
    </row>
    <row r="25" spans="1:7" x14ac:dyDescent="0.35">
      <c r="A25" s="3" t="s">
        <v>131</v>
      </c>
    </row>
    <row r="26" spans="1:7" ht="33.75" customHeight="1" x14ac:dyDescent="0.35">
      <c r="A26" s="5" t="s">
        <v>132</v>
      </c>
      <c r="B26" s="5" t="s">
        <v>133</v>
      </c>
      <c r="C26" s="5" t="s">
        <v>134</v>
      </c>
      <c r="D26" s="5" t="s">
        <v>135</v>
      </c>
      <c r="E26" s="5" t="s">
        <v>136</v>
      </c>
      <c r="F26" s="5" t="s">
        <v>137</v>
      </c>
      <c r="G26" s="5" t="s">
        <v>78</v>
      </c>
    </row>
    <row r="27" spans="1:7" x14ac:dyDescent="0.35">
      <c r="A27" s="6" t="s">
        <v>138</v>
      </c>
      <c r="B27" s="9">
        <v>5</v>
      </c>
      <c r="C27" s="11">
        <v>800000</v>
      </c>
      <c r="D27" s="11">
        <v>900000</v>
      </c>
      <c r="E27" s="24">
        <f>(C27+D27)/2000</f>
        <v>850</v>
      </c>
      <c r="F27" s="24">
        <f>(Parametros_PV!$C$16*(B27/8)^$C$33+Parametros_PV!$C$17*(B27/8)^$C$34+Parametros_PV!$C$18)*Parametros_PV!$C$20</f>
        <v>841.05064478745419</v>
      </c>
      <c r="G27" s="25">
        <f>F27/E27-1</f>
        <v>-1.0528653191230419E-2</v>
      </c>
    </row>
    <row r="28" spans="1:7" x14ac:dyDescent="0.35">
      <c r="A28" s="6" t="s">
        <v>139</v>
      </c>
      <c r="B28" s="9">
        <v>15</v>
      </c>
      <c r="C28" s="11">
        <v>750000</v>
      </c>
      <c r="D28" s="11">
        <v>800000</v>
      </c>
      <c r="E28" s="24">
        <f>(C28+D28)/2000</f>
        <v>775</v>
      </c>
      <c r="F28" s="24">
        <f>(Parametros_PV!$C$16*(B28/8)^$C$33+Parametros_PV!$C$17*(B28/8)^$C$34+Parametros_PV!$C$18)*Parametros_PV!$C$20</f>
        <v>777.10863414307278</v>
      </c>
      <c r="G28" s="25">
        <f>F28/E28-1</f>
        <v>2.7208182491260668E-3</v>
      </c>
    </row>
    <row r="29" spans="1:7" x14ac:dyDescent="0.35">
      <c r="A29" s="6" t="s">
        <v>140</v>
      </c>
      <c r="B29" s="9">
        <v>32</v>
      </c>
      <c r="C29" s="11">
        <v>700000</v>
      </c>
      <c r="D29" s="11">
        <v>750000</v>
      </c>
      <c r="E29" s="24">
        <f>(C29+D29)/2000</f>
        <v>725</v>
      </c>
      <c r="F29" s="24">
        <f>(Parametros_PV!$C$16*(B29/8)^$C$33+Parametros_PV!$C$17*(B29/8)^$C$34+Parametros_PV!$C$18)*Parametros_PV!$C$20</f>
        <v>736.20213760993158</v>
      </c>
      <c r="G29" s="25">
        <f>F29/E29-1</f>
        <v>1.5451224289560805E-2</v>
      </c>
    </row>
    <row r="30" spans="1:7" x14ac:dyDescent="0.35">
      <c r="A30" s="6" t="s">
        <v>141</v>
      </c>
      <c r="B30" s="9">
        <v>130</v>
      </c>
      <c r="C30" s="11">
        <v>650000</v>
      </c>
      <c r="D30" s="11">
        <v>700000</v>
      </c>
      <c r="E30" s="24">
        <f>(C30+D30)/2000</f>
        <v>675</v>
      </c>
      <c r="F30" s="24">
        <f>(Parametros_PV!$C$16*(B30/8)^$C$33+Parametros_PV!$C$17*(B30/8)^$C$34+Parametros_PV!$C$18)*Parametros_PV!$C$20</f>
        <v>666.79982715211042</v>
      </c>
      <c r="G30" s="25">
        <f>F30/E30-1</f>
        <v>-1.2148404219095688E-2</v>
      </c>
    </row>
    <row r="33" spans="1:3" x14ac:dyDescent="0.35">
      <c r="A33" s="3" t="s">
        <v>142</v>
      </c>
      <c r="C33" s="28">
        <v>-9.06E-2</v>
      </c>
    </row>
    <row r="34" spans="1:3" x14ac:dyDescent="0.35">
      <c r="A34" s="3" t="s">
        <v>143</v>
      </c>
      <c r="C34" s="28">
        <v>-0.06</v>
      </c>
    </row>
    <row r="35" spans="1:3" x14ac:dyDescent="0.35">
      <c r="A35" s="3" t="s">
        <v>144</v>
      </c>
      <c r="C35" s="11">
        <v>531</v>
      </c>
    </row>
    <row r="36" spans="1:3" x14ac:dyDescent="0.35">
      <c r="A36" s="6" t="s">
        <v>145</v>
      </c>
      <c r="C36" s="25">
        <f>C35/F30-1</f>
        <v>-0.20365906171888037</v>
      </c>
    </row>
    <row r="38" spans="1:3" ht="25.5" customHeight="1" x14ac:dyDescent="0.35">
      <c r="A38" s="15" t="s">
        <v>146</v>
      </c>
    </row>
  </sheetData>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
  <sheetViews>
    <sheetView showGridLines="0" zoomScaleNormal="100" workbookViewId="0">
      <pane xSplit="1" ySplit="14" topLeftCell="B15" activePane="bottomRight" state="frozen"/>
      <selection pane="topRight" activeCell="B1" sqref="B1"/>
      <selection pane="bottomLeft" activeCell="A15" sqref="A15"/>
      <selection pane="bottomRight"/>
    </sheetView>
  </sheetViews>
  <sheetFormatPr baseColWidth="10" defaultColWidth="8.6328125" defaultRowHeight="14.5" x14ac:dyDescent="0.35"/>
  <cols>
    <col min="1" max="1" width="30" customWidth="1"/>
    <col min="2" max="2" width="44" customWidth="1"/>
    <col min="3" max="13" width="11" customWidth="1"/>
  </cols>
  <sheetData>
    <row r="1" spans="1:13" ht="18" x14ac:dyDescent="0.4">
      <c r="A1" s="1" t="s">
        <v>147</v>
      </c>
    </row>
    <row r="2" spans="1:13" x14ac:dyDescent="0.35">
      <c r="A2" s="2" t="s">
        <v>148</v>
      </c>
    </row>
    <row r="4" spans="1:13" ht="33.75" customHeight="1" x14ac:dyDescent="0.35">
      <c r="A4" s="5" t="s">
        <v>107</v>
      </c>
      <c r="B4" s="5" t="s">
        <v>149</v>
      </c>
      <c r="C4" s="5" t="s">
        <v>150</v>
      </c>
      <c r="D4" s="5" t="s">
        <v>151</v>
      </c>
      <c r="E4" s="5" t="s">
        <v>152</v>
      </c>
      <c r="F4" s="5" t="s">
        <v>153</v>
      </c>
      <c r="G4" s="5" t="s">
        <v>154</v>
      </c>
      <c r="H4" s="5" t="s">
        <v>155</v>
      </c>
    </row>
    <row r="5" spans="1:13" ht="25.5" customHeight="1" x14ac:dyDescent="0.35">
      <c r="A5" s="6" t="s">
        <v>156</v>
      </c>
      <c r="B5" s="30" t="s">
        <v>157</v>
      </c>
      <c r="C5" s="31">
        <v>-7.4499999999999997E-2</v>
      </c>
      <c r="D5" s="31">
        <v>-2.9000000000000001E-2</v>
      </c>
      <c r="E5" s="31">
        <v>-8.3999999999999995E-3</v>
      </c>
      <c r="F5" s="31">
        <v>-6.6199999999999995E-2</v>
      </c>
      <c r="G5" s="31">
        <v>-2.1000000000000001E-2</v>
      </c>
      <c r="H5" s="31">
        <v>-6.7999999999999996E-3</v>
      </c>
    </row>
    <row r="6" spans="1:13" ht="25.5" customHeight="1" x14ac:dyDescent="0.35">
      <c r="A6" s="6" t="s">
        <v>158</v>
      </c>
      <c r="B6" s="30" t="s">
        <v>159</v>
      </c>
      <c r="C6" s="31">
        <v>-0.1234</v>
      </c>
      <c r="D6" s="31">
        <v>-7.8799999999999995E-2</v>
      </c>
      <c r="E6" s="31">
        <v>-3.9399999999999998E-2</v>
      </c>
      <c r="F6" s="31">
        <v>-2.06E-2</v>
      </c>
      <c r="G6" s="31">
        <v>-2.87E-2</v>
      </c>
      <c r="H6" s="31">
        <v>-3.0200000000000001E-2</v>
      </c>
    </row>
    <row r="7" spans="1:13" ht="25.5" customHeight="1" x14ac:dyDescent="0.35">
      <c r="A7" s="6" t="s">
        <v>160</v>
      </c>
      <c r="B7" s="30" t="s">
        <v>161</v>
      </c>
      <c r="C7" s="31">
        <v>-9.5799999999999996E-2</v>
      </c>
      <c r="D7" s="31">
        <v>-5.3100000000000001E-2</v>
      </c>
      <c r="E7" s="31">
        <v>-1.21E-2</v>
      </c>
      <c r="F7" s="31">
        <v>-2.1499999999999998E-2</v>
      </c>
      <c r="G7" s="31">
        <v>-0.03</v>
      </c>
      <c r="H7" s="31">
        <v>-3.1600000000000003E-2</v>
      </c>
    </row>
    <row r="8" spans="1:13" ht="25.5" customHeight="1" x14ac:dyDescent="0.35">
      <c r="A8" s="6" t="s">
        <v>162</v>
      </c>
      <c r="B8" s="30" t="s">
        <v>163</v>
      </c>
      <c r="C8" s="31">
        <v>-3.1699999999999999E-2</v>
      </c>
      <c r="D8" s="31">
        <v>-1.9900000000000001E-2</v>
      </c>
      <c r="E8" s="31">
        <v>-9.7999999999999997E-3</v>
      </c>
      <c r="F8" s="31">
        <v>-5.1000000000000004E-3</v>
      </c>
      <c r="G8" s="31">
        <v>-7.1000000000000004E-3</v>
      </c>
      <c r="H8" s="31">
        <v>-7.4999999999999997E-3</v>
      </c>
    </row>
    <row r="10" spans="1:13" ht="24" customHeight="1" x14ac:dyDescent="0.35">
      <c r="A10" s="15" t="s">
        <v>164</v>
      </c>
    </row>
    <row r="11" spans="1:13" ht="24" customHeight="1" x14ac:dyDescent="0.35">
      <c r="A11" s="15" t="s">
        <v>165</v>
      </c>
    </row>
    <row r="13" spans="1:13" x14ac:dyDescent="0.35">
      <c r="A13" s="3" t="s">
        <v>166</v>
      </c>
    </row>
    <row r="14" spans="1:13" ht="33.75" customHeight="1" x14ac:dyDescent="0.35">
      <c r="A14" s="5" t="s">
        <v>167</v>
      </c>
      <c r="B14" s="5" t="s">
        <v>168</v>
      </c>
      <c r="C14" s="5" t="s">
        <v>169</v>
      </c>
      <c r="D14" s="5" t="s">
        <v>170</v>
      </c>
      <c r="E14" s="5" t="s">
        <v>171</v>
      </c>
      <c r="F14" s="5" t="s">
        <v>172</v>
      </c>
      <c r="G14" s="5" t="s">
        <v>173</v>
      </c>
      <c r="H14" s="5" t="s">
        <v>174</v>
      </c>
      <c r="I14" s="5" t="s">
        <v>175</v>
      </c>
      <c r="J14" s="5" t="s">
        <v>176</v>
      </c>
      <c r="K14" s="5" t="s">
        <v>177</v>
      </c>
      <c r="L14" s="5" t="s">
        <v>178</v>
      </c>
      <c r="M14" s="5" t="s">
        <v>179</v>
      </c>
    </row>
    <row r="15" spans="1:13" x14ac:dyDescent="0.35">
      <c r="A15" s="32">
        <v>2026</v>
      </c>
      <c r="B15" s="33">
        <f t="shared" ref="B15:B39" si="0">IF($A15&lt;=2035,(1+$C$5)^($A15-2026),(1+$C$5)^9*(1+$F$5)^($A15-2035))</f>
        <v>1</v>
      </c>
      <c r="C15" s="33">
        <f t="shared" ref="C15:C39" si="1">IF($A15&lt;=2035,(1+$D$5)^($A15-2026),(1+$D$5)^9*(1+$G$5)^($A15-2035))</f>
        <v>1</v>
      </c>
      <c r="D15" s="33">
        <f t="shared" ref="D15:D39" si="2">IF($A15&lt;=2035,(1+$E$5)^($A15-2026),(1+$E$5)^9*(1+$H$5)^($A15-2035))</f>
        <v>1</v>
      </c>
      <c r="E15" s="33">
        <f t="shared" ref="E15:E39" si="3">IF($A15&lt;=2035,(1+$C$6)^($A15-2026),(1+$C$6)^9*(1+$F$6)^($A15-2035))</f>
        <v>1</v>
      </c>
      <c r="F15" s="33">
        <f t="shared" ref="F15:F39" si="4">IF($A15&lt;=2035,(1+$D$6)^($A15-2026),(1+$D$6)^9*(1+$G$6)^($A15-2035))</f>
        <v>1</v>
      </c>
      <c r="G15" s="33">
        <f t="shared" ref="G15:G39" si="5">IF($A15&lt;=2035,(1+$E$6)^($A15-2026),(1+$E$6)^9*(1+$H$6)^($A15-2035))</f>
        <v>1</v>
      </c>
      <c r="H15" s="33">
        <f t="shared" ref="H15:H39" si="6">IF($A15&lt;=2035,(1+$C$7)^($A15-2026),(1+$C$7)^9*(1+$F$7)^($A15-2035))</f>
        <v>1</v>
      </c>
      <c r="I15" s="33">
        <f t="shared" ref="I15:I39" si="7">IF($A15&lt;=2035,(1+$D$7)^($A15-2026),(1+$D$7)^9*(1+$G$7)^($A15-2035))</f>
        <v>1</v>
      </c>
      <c r="J15" s="33">
        <f t="shared" ref="J15:J39" si="8">IF($A15&lt;=2035,(1+$E$7)^($A15-2026),(1+$E$7)^9*(1+$H$7)^($A15-2035))</f>
        <v>1</v>
      </c>
      <c r="K15" s="33">
        <f t="shared" ref="K15:K39" si="9">IF($A15&lt;=2035,(1+$C$8)^($A15-2026),(1+$C$8)^9*(1+$F$8)^($A15-2035))</f>
        <v>1</v>
      </c>
      <c r="L15" s="33">
        <f t="shared" ref="L15:L39" si="10">IF($A15&lt;=2035,(1+$D$8)^($A15-2026),(1+$D$8)^9*(1+$G$8)^($A15-2035))</f>
        <v>1</v>
      </c>
      <c r="M15" s="33">
        <f t="shared" ref="M15:M39" si="11">IF($A15&lt;=2035,(1+$E$8)^($A15-2026),(1+$E$8)^9*(1+$H$8)^($A15-2035))</f>
        <v>1</v>
      </c>
    </row>
    <row r="16" spans="1:13" x14ac:dyDescent="0.35">
      <c r="A16" s="32">
        <v>2027</v>
      </c>
      <c r="B16" s="33">
        <f t="shared" si="0"/>
        <v>0.92549999999999999</v>
      </c>
      <c r="C16" s="33">
        <f t="shared" si="1"/>
        <v>0.97099999999999997</v>
      </c>
      <c r="D16" s="33">
        <f t="shared" si="2"/>
        <v>0.99160000000000004</v>
      </c>
      <c r="E16" s="33">
        <f t="shared" si="3"/>
        <v>0.87660000000000005</v>
      </c>
      <c r="F16" s="33">
        <f t="shared" si="4"/>
        <v>0.92120000000000002</v>
      </c>
      <c r="G16" s="33">
        <f t="shared" si="5"/>
        <v>0.96060000000000001</v>
      </c>
      <c r="H16" s="33">
        <f t="shared" si="6"/>
        <v>0.9042</v>
      </c>
      <c r="I16" s="33">
        <f t="shared" si="7"/>
        <v>0.94689999999999996</v>
      </c>
      <c r="J16" s="33">
        <f t="shared" si="8"/>
        <v>0.9879</v>
      </c>
      <c r="K16" s="33">
        <f t="shared" si="9"/>
        <v>0.96830000000000005</v>
      </c>
      <c r="L16" s="33">
        <f t="shared" si="10"/>
        <v>0.98009999999999997</v>
      </c>
      <c r="M16" s="33">
        <f t="shared" si="11"/>
        <v>0.99019999999999997</v>
      </c>
    </row>
    <row r="17" spans="1:13" x14ac:dyDescent="0.35">
      <c r="A17" s="32">
        <v>2028</v>
      </c>
      <c r="B17" s="33">
        <f t="shared" si="0"/>
        <v>0.85655024999999996</v>
      </c>
      <c r="C17" s="33">
        <f t="shared" si="1"/>
        <v>0.94284099999999993</v>
      </c>
      <c r="D17" s="33">
        <f t="shared" si="2"/>
        <v>0.98327056000000013</v>
      </c>
      <c r="E17" s="33">
        <f t="shared" si="3"/>
        <v>0.76842756000000012</v>
      </c>
      <c r="F17" s="33">
        <f t="shared" si="4"/>
        <v>0.84860944000000005</v>
      </c>
      <c r="G17" s="33">
        <f t="shared" si="5"/>
        <v>0.92275236000000005</v>
      </c>
      <c r="H17" s="33">
        <f t="shared" si="6"/>
        <v>0.81757763999999999</v>
      </c>
      <c r="I17" s="33">
        <f t="shared" si="7"/>
        <v>0.8966196099999999</v>
      </c>
      <c r="J17" s="33">
        <f t="shared" si="8"/>
        <v>0.97594641000000004</v>
      </c>
      <c r="K17" s="33">
        <f t="shared" si="9"/>
        <v>0.93760489000000014</v>
      </c>
      <c r="L17" s="33">
        <f t="shared" si="10"/>
        <v>0.96059600999999994</v>
      </c>
      <c r="M17" s="33">
        <f t="shared" si="11"/>
        <v>0.9804960399999999</v>
      </c>
    </row>
    <row r="18" spans="1:13" x14ac:dyDescent="0.35">
      <c r="A18" s="32">
        <v>2029</v>
      </c>
      <c r="B18" s="33">
        <f t="shared" si="0"/>
        <v>0.79273725637499992</v>
      </c>
      <c r="C18" s="33">
        <f t="shared" si="1"/>
        <v>0.91549861099999996</v>
      </c>
      <c r="D18" s="33">
        <f t="shared" si="2"/>
        <v>0.97501108729600017</v>
      </c>
      <c r="E18" s="33">
        <f t="shared" si="3"/>
        <v>0.67360359909600009</v>
      </c>
      <c r="F18" s="33">
        <f t="shared" si="4"/>
        <v>0.78173901612800001</v>
      </c>
      <c r="G18" s="33">
        <f t="shared" si="5"/>
        <v>0.88639591701600007</v>
      </c>
      <c r="H18" s="33">
        <f t="shared" si="6"/>
        <v>0.73925370208800001</v>
      </c>
      <c r="I18" s="33">
        <f t="shared" si="7"/>
        <v>0.84900910870899993</v>
      </c>
      <c r="J18" s="33">
        <f t="shared" si="8"/>
        <v>0.96413745843900001</v>
      </c>
      <c r="K18" s="33">
        <f t="shared" si="9"/>
        <v>0.90788281498700019</v>
      </c>
      <c r="L18" s="33">
        <f t="shared" si="10"/>
        <v>0.94148014940099989</v>
      </c>
      <c r="M18" s="33">
        <f t="shared" si="11"/>
        <v>0.97088717880799991</v>
      </c>
    </row>
    <row r="19" spans="1:13" x14ac:dyDescent="0.35">
      <c r="A19" s="32">
        <v>2030</v>
      </c>
      <c r="B19" s="33">
        <f t="shared" si="0"/>
        <v>0.73367833077506239</v>
      </c>
      <c r="C19" s="33">
        <f t="shared" si="1"/>
        <v>0.88894915128099983</v>
      </c>
      <c r="D19" s="33">
        <f t="shared" si="2"/>
        <v>0.96682099416271383</v>
      </c>
      <c r="E19" s="33">
        <f t="shared" si="3"/>
        <v>0.59048091496755384</v>
      </c>
      <c r="F19" s="33">
        <f t="shared" si="4"/>
        <v>0.72013798165711373</v>
      </c>
      <c r="G19" s="33">
        <f t="shared" si="5"/>
        <v>0.85147191788556964</v>
      </c>
      <c r="H19" s="33">
        <f t="shared" si="6"/>
        <v>0.66843319742796958</v>
      </c>
      <c r="I19" s="33">
        <f t="shared" si="7"/>
        <v>0.80392672503655194</v>
      </c>
      <c r="J19" s="33">
        <f t="shared" si="8"/>
        <v>0.95247139519188817</v>
      </c>
      <c r="K19" s="33">
        <f t="shared" si="9"/>
        <v>0.8791029297519124</v>
      </c>
      <c r="L19" s="33">
        <f t="shared" si="10"/>
        <v>0.92274469442791995</v>
      </c>
      <c r="M19" s="33">
        <f t="shared" si="11"/>
        <v>0.96137248445568135</v>
      </c>
    </row>
    <row r="20" spans="1:13" x14ac:dyDescent="0.35">
      <c r="A20" s="32">
        <v>2031</v>
      </c>
      <c r="B20" s="33">
        <f t="shared" si="0"/>
        <v>0.67901929513232029</v>
      </c>
      <c r="C20" s="33">
        <f t="shared" si="1"/>
        <v>0.86316962589385082</v>
      </c>
      <c r="D20" s="33">
        <f t="shared" si="2"/>
        <v>0.95869969781174702</v>
      </c>
      <c r="E20" s="33">
        <f t="shared" si="3"/>
        <v>0.51761557006055769</v>
      </c>
      <c r="F20" s="33">
        <f t="shared" si="4"/>
        <v>0.66339110870253315</v>
      </c>
      <c r="G20" s="33">
        <f t="shared" si="5"/>
        <v>0.81792392432087824</v>
      </c>
      <c r="H20" s="33">
        <f t="shared" si="6"/>
        <v>0.60439729711437007</v>
      </c>
      <c r="I20" s="33">
        <f t="shared" si="7"/>
        <v>0.76123821593711105</v>
      </c>
      <c r="J20" s="33">
        <f t="shared" si="8"/>
        <v>0.94094649131006636</v>
      </c>
      <c r="K20" s="33">
        <f t="shared" si="9"/>
        <v>0.85123536687877677</v>
      </c>
      <c r="L20" s="33">
        <f t="shared" si="10"/>
        <v>0.9043820750088043</v>
      </c>
      <c r="M20" s="33">
        <f t="shared" si="11"/>
        <v>0.95195103410801563</v>
      </c>
    </row>
    <row r="21" spans="1:13" x14ac:dyDescent="0.35">
      <c r="A21" s="32">
        <v>2032</v>
      </c>
      <c r="B21" s="33">
        <f t="shared" si="0"/>
        <v>0.6284323576449623</v>
      </c>
      <c r="C21" s="33">
        <f t="shared" si="1"/>
        <v>0.83813770674292909</v>
      </c>
      <c r="D21" s="33">
        <f t="shared" si="2"/>
        <v>0.95064662035012848</v>
      </c>
      <c r="E21" s="33">
        <f t="shared" si="3"/>
        <v>0.45374180871508496</v>
      </c>
      <c r="F21" s="33">
        <f t="shared" si="4"/>
        <v>0.61111588933677363</v>
      </c>
      <c r="G21" s="33">
        <f t="shared" si="5"/>
        <v>0.78569772170263563</v>
      </c>
      <c r="H21" s="33">
        <f t="shared" si="6"/>
        <v>0.54649603605081343</v>
      </c>
      <c r="I21" s="33">
        <f t="shared" si="7"/>
        <v>0.72081646667085031</v>
      </c>
      <c r="J21" s="33">
        <f t="shared" si="8"/>
        <v>0.92956103876521456</v>
      </c>
      <c r="K21" s="33">
        <f t="shared" si="9"/>
        <v>0.82425120574871968</v>
      </c>
      <c r="L21" s="33">
        <f t="shared" si="10"/>
        <v>0.88638487171612912</v>
      </c>
      <c r="M21" s="33">
        <f t="shared" si="11"/>
        <v>0.94262191397375705</v>
      </c>
    </row>
    <row r="22" spans="1:13" x14ac:dyDescent="0.35">
      <c r="A22" s="32">
        <v>2033</v>
      </c>
      <c r="B22" s="33">
        <f t="shared" si="0"/>
        <v>0.58161414700041258</v>
      </c>
      <c r="C22" s="33">
        <f t="shared" si="1"/>
        <v>0.81383171324738413</v>
      </c>
      <c r="D22" s="33">
        <f t="shared" si="2"/>
        <v>0.94266118873918747</v>
      </c>
      <c r="E22" s="33">
        <f t="shared" si="3"/>
        <v>0.39775006951964348</v>
      </c>
      <c r="F22" s="33">
        <f t="shared" si="4"/>
        <v>0.56295995725703585</v>
      </c>
      <c r="G22" s="33">
        <f t="shared" si="5"/>
        <v>0.75474123146755179</v>
      </c>
      <c r="H22" s="33">
        <f t="shared" si="6"/>
        <v>0.4941417157971455</v>
      </c>
      <c r="I22" s="33">
        <f t="shared" si="7"/>
        <v>0.68254111229062819</v>
      </c>
      <c r="J22" s="33">
        <f t="shared" si="8"/>
        <v>0.91831335019615545</v>
      </c>
      <c r="K22" s="33">
        <f t="shared" si="9"/>
        <v>0.79812244252648534</v>
      </c>
      <c r="L22" s="33">
        <f t="shared" si="10"/>
        <v>0.86874581276897811</v>
      </c>
      <c r="M22" s="33">
        <f t="shared" si="11"/>
        <v>0.93338421921681425</v>
      </c>
    </row>
    <row r="23" spans="1:13" x14ac:dyDescent="0.35">
      <c r="A23" s="32">
        <v>2034</v>
      </c>
      <c r="B23" s="33">
        <f t="shared" si="0"/>
        <v>0.53828389304888191</v>
      </c>
      <c r="C23" s="33">
        <f t="shared" si="1"/>
        <v>0.7902305935632099</v>
      </c>
      <c r="D23" s="33">
        <f t="shared" si="2"/>
        <v>0.93474283475377828</v>
      </c>
      <c r="E23" s="33">
        <f t="shared" si="3"/>
        <v>0.34866771094091953</v>
      </c>
      <c r="F23" s="33">
        <f t="shared" si="4"/>
        <v>0.51859871262518142</v>
      </c>
      <c r="G23" s="33">
        <f t="shared" si="5"/>
        <v>0.72500442694773026</v>
      </c>
      <c r="H23" s="33">
        <f t="shared" si="6"/>
        <v>0.44680293942377897</v>
      </c>
      <c r="I23" s="33">
        <f t="shared" si="7"/>
        <v>0.64629817922799582</v>
      </c>
      <c r="J23" s="33">
        <f t="shared" si="8"/>
        <v>0.90720175865878205</v>
      </c>
      <c r="K23" s="33">
        <f t="shared" si="9"/>
        <v>0.77282196109839585</v>
      </c>
      <c r="L23" s="33">
        <f t="shared" si="10"/>
        <v>0.85145777109487542</v>
      </c>
      <c r="M23" s="33">
        <f t="shared" si="11"/>
        <v>0.92423705386848931</v>
      </c>
    </row>
    <row r="24" spans="1:13" x14ac:dyDescent="0.35">
      <c r="A24" s="32">
        <v>2035</v>
      </c>
      <c r="B24" s="33">
        <f t="shared" si="0"/>
        <v>0.49818174301674023</v>
      </c>
      <c r="C24" s="33">
        <f t="shared" si="1"/>
        <v>0.76731390634987684</v>
      </c>
      <c r="D24" s="33">
        <f t="shared" si="2"/>
        <v>0.92689099494184657</v>
      </c>
      <c r="E24" s="33">
        <f t="shared" si="3"/>
        <v>0.3056421154108101</v>
      </c>
      <c r="F24" s="33">
        <f t="shared" si="4"/>
        <v>0.47773313407031714</v>
      </c>
      <c r="G24" s="33">
        <f t="shared" si="5"/>
        <v>0.6964392525259897</v>
      </c>
      <c r="H24" s="33">
        <f t="shared" si="6"/>
        <v>0.40399921782698095</v>
      </c>
      <c r="I24" s="33">
        <f t="shared" si="7"/>
        <v>0.61197974591098925</v>
      </c>
      <c r="J24" s="33">
        <f t="shared" si="8"/>
        <v>0.89622461737901082</v>
      </c>
      <c r="K24" s="33">
        <f t="shared" si="9"/>
        <v>0.74832350493157673</v>
      </c>
      <c r="L24" s="33">
        <f t="shared" si="10"/>
        <v>0.83451376145008738</v>
      </c>
      <c r="M24" s="33">
        <f t="shared" si="11"/>
        <v>0.91517953074057812</v>
      </c>
    </row>
    <row r="25" spans="1:13" x14ac:dyDescent="0.35">
      <c r="A25" s="32">
        <v>2036</v>
      </c>
      <c r="B25" s="33">
        <f t="shared" si="0"/>
        <v>0.46520211162903202</v>
      </c>
      <c r="C25" s="33">
        <f t="shared" si="1"/>
        <v>0.75120031431652945</v>
      </c>
      <c r="D25" s="33">
        <f t="shared" si="2"/>
        <v>0.92058813617624202</v>
      </c>
      <c r="E25" s="33">
        <f t="shared" si="3"/>
        <v>0.29934588783334742</v>
      </c>
      <c r="F25" s="33">
        <f t="shared" si="4"/>
        <v>0.46402219312249909</v>
      </c>
      <c r="G25" s="33">
        <f t="shared" si="5"/>
        <v>0.67540678709970481</v>
      </c>
      <c r="H25" s="33">
        <f t="shared" si="6"/>
        <v>0.39531323464370088</v>
      </c>
      <c r="I25" s="33">
        <f t="shared" si="7"/>
        <v>0.59362035353365961</v>
      </c>
      <c r="J25" s="33">
        <f t="shared" si="8"/>
        <v>0.86790391946983414</v>
      </c>
      <c r="K25" s="33">
        <f t="shared" si="9"/>
        <v>0.74450705505642567</v>
      </c>
      <c r="L25" s="33">
        <f t="shared" si="10"/>
        <v>0.82858871374379173</v>
      </c>
      <c r="M25" s="33">
        <f t="shared" si="11"/>
        <v>0.90831568426002385</v>
      </c>
    </row>
    <row r="26" spans="1:13" x14ac:dyDescent="0.35">
      <c r="A26" s="32">
        <v>2037</v>
      </c>
      <c r="B26" s="33">
        <f t="shared" si="0"/>
        <v>0.43440573183919007</v>
      </c>
      <c r="C26" s="33">
        <f t="shared" si="1"/>
        <v>0.73542510771588232</v>
      </c>
      <c r="D26" s="33">
        <f t="shared" si="2"/>
        <v>0.9143281368502435</v>
      </c>
      <c r="E26" s="33">
        <f t="shared" si="3"/>
        <v>0.29317936254398047</v>
      </c>
      <c r="F26" s="33">
        <f t="shared" si="4"/>
        <v>0.45070475617988337</v>
      </c>
      <c r="G26" s="33">
        <f t="shared" si="5"/>
        <v>0.65500950212929376</v>
      </c>
      <c r="H26" s="33">
        <f t="shared" si="6"/>
        <v>0.3868140000988613</v>
      </c>
      <c r="I26" s="33">
        <f t="shared" si="7"/>
        <v>0.57581174292764981</v>
      </c>
      <c r="J26" s="33">
        <f t="shared" si="8"/>
        <v>0.84047815561458739</v>
      </c>
      <c r="K26" s="33">
        <f t="shared" si="9"/>
        <v>0.74071006907563797</v>
      </c>
      <c r="L26" s="33">
        <f t="shared" si="10"/>
        <v>0.82270573387621082</v>
      </c>
      <c r="M26" s="33">
        <f t="shared" si="11"/>
        <v>0.9015033166280737</v>
      </c>
    </row>
    <row r="27" spans="1:13" x14ac:dyDescent="0.35">
      <c r="A27" s="32">
        <v>2038</v>
      </c>
      <c r="B27" s="33">
        <f t="shared" si="0"/>
        <v>0.40564807239143563</v>
      </c>
      <c r="C27" s="33">
        <f t="shared" si="1"/>
        <v>0.71998118045384873</v>
      </c>
      <c r="D27" s="33">
        <f t="shared" si="2"/>
        <v>0.90811070551966178</v>
      </c>
      <c r="E27" s="33">
        <f t="shared" si="3"/>
        <v>0.28713986767557448</v>
      </c>
      <c r="F27" s="33">
        <f t="shared" si="4"/>
        <v>0.43776952967752075</v>
      </c>
      <c r="G27" s="33">
        <f t="shared" si="5"/>
        <v>0.63522821516498906</v>
      </c>
      <c r="H27" s="33">
        <f t="shared" si="6"/>
        <v>0.37849749909673586</v>
      </c>
      <c r="I27" s="33">
        <f t="shared" si="7"/>
        <v>0.55853739063982022</v>
      </c>
      <c r="J27" s="33">
        <f t="shared" si="8"/>
        <v>0.81391904589716646</v>
      </c>
      <c r="K27" s="33">
        <f t="shared" si="9"/>
        <v>0.7369324477233522</v>
      </c>
      <c r="L27" s="33">
        <f t="shared" si="10"/>
        <v>0.81686452316568969</v>
      </c>
      <c r="M27" s="33">
        <f t="shared" si="11"/>
        <v>0.89474204175336314</v>
      </c>
    </row>
    <row r="28" spans="1:13" x14ac:dyDescent="0.35">
      <c r="A28" s="32">
        <v>2039</v>
      </c>
      <c r="B28" s="33">
        <f t="shared" si="0"/>
        <v>0.37879416999912263</v>
      </c>
      <c r="C28" s="33">
        <f t="shared" si="1"/>
        <v>0.70486157566431795</v>
      </c>
      <c r="D28" s="33">
        <f t="shared" si="2"/>
        <v>0.90193555272212811</v>
      </c>
      <c r="E28" s="33">
        <f t="shared" si="3"/>
        <v>0.2812247864014577</v>
      </c>
      <c r="F28" s="33">
        <f t="shared" si="4"/>
        <v>0.42520554417577594</v>
      </c>
      <c r="G28" s="33">
        <f t="shared" si="5"/>
        <v>0.61604432306700641</v>
      </c>
      <c r="H28" s="33">
        <f t="shared" si="6"/>
        <v>0.370359802866156</v>
      </c>
      <c r="I28" s="33">
        <f t="shared" si="7"/>
        <v>0.54178126892062561</v>
      </c>
      <c r="J28" s="33">
        <f t="shared" si="8"/>
        <v>0.78819920404681598</v>
      </c>
      <c r="K28" s="33">
        <f t="shared" si="9"/>
        <v>0.7331740922399631</v>
      </c>
      <c r="L28" s="33">
        <f t="shared" si="10"/>
        <v>0.81106478505121327</v>
      </c>
      <c r="M28" s="33">
        <f t="shared" si="11"/>
        <v>0.88803147644021296</v>
      </c>
    </row>
    <row r="29" spans="1:13" x14ac:dyDescent="0.35">
      <c r="A29" s="32">
        <v>2040</v>
      </c>
      <c r="B29" s="33">
        <f t="shared" si="0"/>
        <v>0.35371799594518072</v>
      </c>
      <c r="C29" s="33">
        <f t="shared" si="1"/>
        <v>0.69005948257536731</v>
      </c>
      <c r="D29" s="33">
        <f t="shared" si="2"/>
        <v>0.89580239096361747</v>
      </c>
      <c r="E29" s="33">
        <f t="shared" si="3"/>
        <v>0.27543155580158768</v>
      </c>
      <c r="F29" s="33">
        <f t="shared" si="4"/>
        <v>0.4130021450579312</v>
      </c>
      <c r="G29" s="33">
        <f t="shared" si="5"/>
        <v>0.59743978451038282</v>
      </c>
      <c r="H29" s="33">
        <f t="shared" si="6"/>
        <v>0.36239706710453368</v>
      </c>
      <c r="I29" s="33">
        <f t="shared" si="7"/>
        <v>0.52552783085300681</v>
      </c>
      <c r="J29" s="33">
        <f t="shared" si="8"/>
        <v>0.76329210919893664</v>
      </c>
      <c r="K29" s="33">
        <f t="shared" si="9"/>
        <v>0.72943490436953928</v>
      </c>
      <c r="L29" s="33">
        <f t="shared" si="10"/>
        <v>0.80530622507734961</v>
      </c>
      <c r="M29" s="33">
        <f t="shared" si="11"/>
        <v>0.8813712403669115</v>
      </c>
    </row>
    <row r="30" spans="1:13" x14ac:dyDescent="0.35">
      <c r="A30" s="32">
        <v>2041</v>
      </c>
      <c r="B30" s="33">
        <f t="shared" si="0"/>
        <v>0.33030186461360972</v>
      </c>
      <c r="C30" s="33">
        <f t="shared" si="1"/>
        <v>0.67556823344128458</v>
      </c>
      <c r="D30" s="33">
        <f t="shared" si="2"/>
        <v>0.8897109347050649</v>
      </c>
      <c r="E30" s="33">
        <f t="shared" si="3"/>
        <v>0.26975766575207499</v>
      </c>
      <c r="F30" s="33">
        <f t="shared" si="4"/>
        <v>0.40114898349476863</v>
      </c>
      <c r="G30" s="33">
        <f t="shared" si="5"/>
        <v>0.57939710301816927</v>
      </c>
      <c r="H30" s="33">
        <f t="shared" si="6"/>
        <v>0.3546055301617862</v>
      </c>
      <c r="I30" s="33">
        <f t="shared" si="7"/>
        <v>0.50976199592741667</v>
      </c>
      <c r="J30" s="33">
        <f t="shared" si="8"/>
        <v>0.73917207854825029</v>
      </c>
      <c r="K30" s="33">
        <f t="shared" si="9"/>
        <v>0.72571478635725473</v>
      </c>
      <c r="L30" s="33">
        <f t="shared" si="10"/>
        <v>0.79958855087930047</v>
      </c>
      <c r="M30" s="33">
        <f t="shared" si="11"/>
        <v>0.8747609560641596</v>
      </c>
    </row>
    <row r="31" spans="1:13" x14ac:dyDescent="0.35">
      <c r="A31" s="32">
        <v>2042</v>
      </c>
      <c r="B31" s="33">
        <f t="shared" si="0"/>
        <v>0.30843588117618875</v>
      </c>
      <c r="C31" s="33">
        <f t="shared" si="1"/>
        <v>0.66138130053901745</v>
      </c>
      <c r="D31" s="33">
        <f t="shared" si="2"/>
        <v>0.88366090034907041</v>
      </c>
      <c r="E31" s="33">
        <f t="shared" si="3"/>
        <v>0.26420065783758223</v>
      </c>
      <c r="F31" s="33">
        <f t="shared" si="4"/>
        <v>0.38963600766846879</v>
      </c>
      <c r="G31" s="33">
        <f t="shared" si="5"/>
        <v>0.56189931050702047</v>
      </c>
      <c r="H31" s="33">
        <f t="shared" si="6"/>
        <v>0.34698151126330778</v>
      </c>
      <c r="I31" s="33">
        <f t="shared" si="7"/>
        <v>0.49446913604959414</v>
      </c>
      <c r="J31" s="33">
        <f t="shared" si="8"/>
        <v>0.71581424086612555</v>
      </c>
      <c r="K31" s="33">
        <f t="shared" si="9"/>
        <v>0.72201364094683262</v>
      </c>
      <c r="L31" s="33">
        <f t="shared" si="10"/>
        <v>0.79391147216805757</v>
      </c>
      <c r="M31" s="33">
        <f t="shared" si="11"/>
        <v>0.86820024889367853</v>
      </c>
    </row>
    <row r="32" spans="1:13" x14ac:dyDescent="0.35">
      <c r="A32" s="32">
        <v>2043</v>
      </c>
      <c r="B32" s="33">
        <f t="shared" si="0"/>
        <v>0.28801742584232504</v>
      </c>
      <c r="C32" s="33">
        <f t="shared" si="1"/>
        <v>0.64749229322769819</v>
      </c>
      <c r="D32" s="33">
        <f t="shared" si="2"/>
        <v>0.8776520062266967</v>
      </c>
      <c r="E32" s="33">
        <f t="shared" si="3"/>
        <v>0.2587581242861281</v>
      </c>
      <c r="F32" s="33">
        <f t="shared" si="4"/>
        <v>0.37845345424838378</v>
      </c>
      <c r="G32" s="33">
        <f t="shared" si="5"/>
        <v>0.54492995132970856</v>
      </c>
      <c r="H32" s="33">
        <f t="shared" si="6"/>
        <v>0.33952140877114667</v>
      </c>
      <c r="I32" s="33">
        <f t="shared" si="7"/>
        <v>0.47963506196810635</v>
      </c>
      <c r="J32" s="33">
        <f t="shared" si="8"/>
        <v>0.69319451085475603</v>
      </c>
      <c r="K32" s="33">
        <f t="shared" si="9"/>
        <v>0.71833137137800385</v>
      </c>
      <c r="L32" s="33">
        <f t="shared" si="10"/>
        <v>0.7882747007156643</v>
      </c>
      <c r="M32" s="33">
        <f t="shared" si="11"/>
        <v>0.86168874702697595</v>
      </c>
    </row>
    <row r="33" spans="1:13" x14ac:dyDescent="0.35">
      <c r="A33" s="32">
        <v>2044</v>
      </c>
      <c r="B33" s="33">
        <f t="shared" si="0"/>
        <v>0.26895067225156311</v>
      </c>
      <c r="C33" s="33">
        <f t="shared" si="1"/>
        <v>0.63389495506991655</v>
      </c>
      <c r="D33" s="33">
        <f t="shared" si="2"/>
        <v>0.87168397258435515</v>
      </c>
      <c r="E33" s="33">
        <f t="shared" si="3"/>
        <v>0.25342770692583388</v>
      </c>
      <c r="F33" s="33">
        <f t="shared" si="4"/>
        <v>0.36759184011145518</v>
      </c>
      <c r="G33" s="33">
        <f t="shared" si="5"/>
        <v>0.52847306679955131</v>
      </c>
      <c r="H33" s="33">
        <f t="shared" si="6"/>
        <v>0.332221698482567</v>
      </c>
      <c r="I33" s="33">
        <f t="shared" si="7"/>
        <v>0.46524601010906308</v>
      </c>
      <c r="J33" s="33">
        <f t="shared" si="8"/>
        <v>0.67128956431174569</v>
      </c>
      <c r="K33" s="33">
        <f t="shared" si="9"/>
        <v>0.71466788138397597</v>
      </c>
      <c r="L33" s="33">
        <f t="shared" si="10"/>
        <v>0.78267795034058307</v>
      </c>
      <c r="M33" s="33">
        <f t="shared" si="11"/>
        <v>0.85522608142427359</v>
      </c>
    </row>
    <row r="34" spans="1:13" x14ac:dyDescent="0.35">
      <c r="A34" s="32">
        <v>2045</v>
      </c>
      <c r="B34" s="33">
        <f t="shared" si="0"/>
        <v>0.25114613774850963</v>
      </c>
      <c r="C34" s="33">
        <f t="shared" si="1"/>
        <v>0.62058316101344835</v>
      </c>
      <c r="D34" s="33">
        <f t="shared" si="2"/>
        <v>0.86575652157078153</v>
      </c>
      <c r="E34" s="33">
        <f t="shared" si="3"/>
        <v>0.24820709616316172</v>
      </c>
      <c r="F34" s="33">
        <f t="shared" si="4"/>
        <v>0.35704195430025643</v>
      </c>
      <c r="G34" s="33">
        <f t="shared" si="5"/>
        <v>0.51251318018220493</v>
      </c>
      <c r="H34" s="33">
        <f t="shared" si="6"/>
        <v>0.32507893196519183</v>
      </c>
      <c r="I34" s="33">
        <f t="shared" si="7"/>
        <v>0.45128862980579126</v>
      </c>
      <c r="J34" s="33">
        <f t="shared" si="8"/>
        <v>0.65007681407949458</v>
      </c>
      <c r="K34" s="33">
        <f t="shared" si="9"/>
        <v>0.71102307518891772</v>
      </c>
      <c r="L34" s="33">
        <f t="shared" si="10"/>
        <v>0.77712093689316486</v>
      </c>
      <c r="M34" s="33">
        <f t="shared" si="11"/>
        <v>0.84881188581359157</v>
      </c>
    </row>
    <row r="35" spans="1:13" x14ac:dyDescent="0.35">
      <c r="A35" s="32">
        <v>2046</v>
      </c>
      <c r="B35" s="33">
        <f t="shared" si="0"/>
        <v>0.23452026342955828</v>
      </c>
      <c r="C35" s="33">
        <f t="shared" si="1"/>
        <v>0.60755091463216582</v>
      </c>
      <c r="D35" s="33">
        <f t="shared" si="2"/>
        <v>0.85986937722410017</v>
      </c>
      <c r="E35" s="33">
        <f t="shared" si="3"/>
        <v>0.24309402998220059</v>
      </c>
      <c r="F35" s="33">
        <f t="shared" si="4"/>
        <v>0.34679485021183903</v>
      </c>
      <c r="G35" s="33">
        <f t="shared" si="5"/>
        <v>0.49703528214070231</v>
      </c>
      <c r="H35" s="33">
        <f t="shared" si="6"/>
        <v>0.31808973492794024</v>
      </c>
      <c r="I35" s="33">
        <f t="shared" si="7"/>
        <v>0.43774997091161749</v>
      </c>
      <c r="J35" s="33">
        <f t="shared" si="8"/>
        <v>0.62953438675458262</v>
      </c>
      <c r="K35" s="33">
        <f t="shared" si="9"/>
        <v>0.70739685750545422</v>
      </c>
      <c r="L35" s="33">
        <f t="shared" si="10"/>
        <v>0.77160337824122338</v>
      </c>
      <c r="M35" s="33">
        <f t="shared" si="11"/>
        <v>0.84244579666998975</v>
      </c>
    </row>
    <row r="36" spans="1:13" x14ac:dyDescent="0.35">
      <c r="A36" s="32">
        <v>2047</v>
      </c>
      <c r="B36" s="33">
        <f t="shared" si="0"/>
        <v>0.21899502199052154</v>
      </c>
      <c r="C36" s="33">
        <f t="shared" si="1"/>
        <v>0.59479234542489035</v>
      </c>
      <c r="D36" s="33">
        <f t="shared" si="2"/>
        <v>0.8540222654589763</v>
      </c>
      <c r="E36" s="33">
        <f t="shared" si="3"/>
        <v>0.23808629296456729</v>
      </c>
      <c r="F36" s="33">
        <f t="shared" si="4"/>
        <v>0.33684183801075934</v>
      </c>
      <c r="G36" s="33">
        <f t="shared" si="5"/>
        <v>0.48202481662005309</v>
      </c>
      <c r="H36" s="33">
        <f t="shared" si="6"/>
        <v>0.31125080562698954</v>
      </c>
      <c r="I36" s="33">
        <f t="shared" si="7"/>
        <v>0.4246174717842689</v>
      </c>
      <c r="J36" s="33">
        <f t="shared" si="8"/>
        <v>0.60964110013313777</v>
      </c>
      <c r="K36" s="33">
        <f t="shared" si="9"/>
        <v>0.70378913353217654</v>
      </c>
      <c r="L36" s="33">
        <f t="shared" si="10"/>
        <v>0.76612499425571068</v>
      </c>
      <c r="M36" s="33">
        <f t="shared" si="11"/>
        <v>0.83612745319496484</v>
      </c>
    </row>
    <row r="37" spans="1:13" x14ac:dyDescent="0.35">
      <c r="A37" s="32">
        <v>2048</v>
      </c>
      <c r="B37" s="33">
        <f t="shared" si="0"/>
        <v>0.20449755153474902</v>
      </c>
      <c r="C37" s="33">
        <f t="shared" si="1"/>
        <v>0.58230170617096766</v>
      </c>
      <c r="D37" s="33">
        <f t="shared" si="2"/>
        <v>0.84821491405385518</v>
      </c>
      <c r="E37" s="33">
        <f t="shared" si="3"/>
        <v>0.23318171532949722</v>
      </c>
      <c r="F37" s="33">
        <f t="shared" si="4"/>
        <v>0.3271744772598506</v>
      </c>
      <c r="G37" s="33">
        <f t="shared" si="5"/>
        <v>0.46746766715812754</v>
      </c>
      <c r="H37" s="33">
        <f t="shared" si="6"/>
        <v>0.30455891330600926</v>
      </c>
      <c r="I37" s="33">
        <f t="shared" si="7"/>
        <v>0.41187894763074084</v>
      </c>
      <c r="J37" s="33">
        <f t="shared" si="8"/>
        <v>0.59037644136893064</v>
      </c>
      <c r="K37" s="33">
        <f t="shared" si="9"/>
        <v>0.70019980895116229</v>
      </c>
      <c r="L37" s="33">
        <f t="shared" si="10"/>
        <v>0.76068550679649516</v>
      </c>
      <c r="M37" s="33">
        <f t="shared" si="11"/>
        <v>0.82985649729600275</v>
      </c>
    </row>
    <row r="38" spans="1:13" x14ac:dyDescent="0.35">
      <c r="A38" s="32">
        <v>2049</v>
      </c>
      <c r="B38" s="33">
        <f t="shared" si="0"/>
        <v>0.19095981362314859</v>
      </c>
      <c r="C38" s="33">
        <f t="shared" si="1"/>
        <v>0.57007337034137739</v>
      </c>
      <c r="D38" s="33">
        <f t="shared" si="2"/>
        <v>0.84244705263828901</v>
      </c>
      <c r="E38" s="33">
        <f t="shared" si="3"/>
        <v>0.22837817199370958</v>
      </c>
      <c r="F38" s="33">
        <f t="shared" si="4"/>
        <v>0.31778456976249286</v>
      </c>
      <c r="G38" s="33">
        <f t="shared" si="5"/>
        <v>0.45335014360995207</v>
      </c>
      <c r="H38" s="33">
        <f t="shared" si="6"/>
        <v>0.29801089666993003</v>
      </c>
      <c r="I38" s="33">
        <f t="shared" si="7"/>
        <v>0.39952257920181861</v>
      </c>
      <c r="J38" s="33">
        <f t="shared" si="8"/>
        <v>0.57172054582167242</v>
      </c>
      <c r="K38" s="33">
        <f t="shared" si="9"/>
        <v>0.69662878992551147</v>
      </c>
      <c r="L38" s="33">
        <f t="shared" si="10"/>
        <v>0.75528463969824</v>
      </c>
      <c r="M38" s="33">
        <f t="shared" si="11"/>
        <v>0.82363257356628272</v>
      </c>
    </row>
    <row r="39" spans="1:13" x14ac:dyDescent="0.35">
      <c r="A39" s="32">
        <v>2050</v>
      </c>
      <c r="B39" s="33">
        <f t="shared" si="0"/>
        <v>0.17831827396129615</v>
      </c>
      <c r="C39" s="33">
        <f t="shared" si="1"/>
        <v>0.5581018295642084</v>
      </c>
      <c r="D39" s="33">
        <f t="shared" si="2"/>
        <v>0.83671841268034852</v>
      </c>
      <c r="E39" s="33">
        <f t="shared" si="3"/>
        <v>0.22367358165063916</v>
      </c>
      <c r="F39" s="33">
        <f t="shared" si="4"/>
        <v>0.30866415261030933</v>
      </c>
      <c r="G39" s="33">
        <f t="shared" si="5"/>
        <v>0.43965896927293147</v>
      </c>
      <c r="H39" s="33">
        <f t="shared" si="6"/>
        <v>0.29160366239152657</v>
      </c>
      <c r="I39" s="33">
        <f t="shared" si="7"/>
        <v>0.38753690182576406</v>
      </c>
      <c r="J39" s="33">
        <f t="shared" si="8"/>
        <v>0.55365417657370752</v>
      </c>
      <c r="K39" s="33">
        <f t="shared" si="9"/>
        <v>0.69307598309689133</v>
      </c>
      <c r="L39" s="33">
        <f t="shared" si="10"/>
        <v>0.74992211875638259</v>
      </c>
      <c r="M39" s="33">
        <f t="shared" si="11"/>
        <v>0.81745532926453568</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showGridLines="0" zoomScaleNormal="100" workbookViewId="0"/>
  </sheetViews>
  <sheetFormatPr baseColWidth="10" defaultColWidth="8.6328125" defaultRowHeight="14.5" x14ac:dyDescent="0.35"/>
  <cols>
    <col min="1" max="1" width="32" customWidth="1"/>
    <col min="2" max="9" width="11" customWidth="1"/>
  </cols>
  <sheetData>
    <row r="1" spans="1:3" ht="18" x14ac:dyDescent="0.4">
      <c r="A1" s="1" t="s">
        <v>180</v>
      </c>
    </row>
    <row r="2" spans="1:3" x14ac:dyDescent="0.35">
      <c r="A2" s="2" t="s">
        <v>181</v>
      </c>
    </row>
    <row r="4" spans="1:3" x14ac:dyDescent="0.35">
      <c r="A4" s="3" t="s">
        <v>182</v>
      </c>
      <c r="C4" s="34" t="s">
        <v>87</v>
      </c>
    </row>
    <row r="5" spans="1:3" x14ac:dyDescent="0.35">
      <c r="A5" s="3" t="s">
        <v>183</v>
      </c>
      <c r="C5" s="34" t="s">
        <v>184</v>
      </c>
    </row>
    <row r="6" spans="1:3" x14ac:dyDescent="0.35">
      <c r="A6" s="3" t="s">
        <v>185</v>
      </c>
      <c r="C6" s="9">
        <v>40</v>
      </c>
    </row>
    <row r="7" spans="1:3" x14ac:dyDescent="0.35">
      <c r="A7" s="3" t="s">
        <v>186</v>
      </c>
      <c r="C7" s="8">
        <v>1</v>
      </c>
    </row>
    <row r="8" spans="1:3" x14ac:dyDescent="0.35">
      <c r="A8" s="35" t="s">
        <v>187</v>
      </c>
      <c r="C8" s="10">
        <f>INDEX(Parametros_BESS!$D$5:$D$8,MATCH($C$4,Parametros_BESS!$A$5:$A$8,0))</f>
        <v>93.4</v>
      </c>
    </row>
    <row r="9" spans="1:3" x14ac:dyDescent="0.35">
      <c r="A9" s="35" t="s">
        <v>188</v>
      </c>
      <c r="C9" s="10">
        <f>INDEX(Parametros_BESS!$E$5:$E$8,MATCH($C$4,Parametros_BESS!$A$5:$A$8,0))</f>
        <v>5.35</v>
      </c>
    </row>
    <row r="10" spans="1:3" x14ac:dyDescent="0.35">
      <c r="A10" s="35" t="s">
        <v>189</v>
      </c>
      <c r="C10" s="10">
        <f>INDEX(Parametros_BESS!$F$5:$F$8,MATCH($C$4,Parametros_BESS!$A$5:$A$8,0))</f>
        <v>86.6</v>
      </c>
    </row>
    <row r="11" spans="1:3" x14ac:dyDescent="0.35">
      <c r="A11" s="35" t="s">
        <v>190</v>
      </c>
      <c r="C11" s="24">
        <f>INDEX(Parametros_BESS!$G$5:$G$8,MATCH($C$4,Parametros_BESS!$A$5:$A$8,0))</f>
        <v>526263</v>
      </c>
    </row>
    <row r="12" spans="1:3" x14ac:dyDescent="0.35">
      <c r="A12" s="35" t="s">
        <v>191</v>
      </c>
      <c r="C12" s="36">
        <f>INDEX(Parametros_BESS!$H$5:$H$8,MATCH($C$4,Parametros_BESS!$A$5:$A$8,0))</f>
        <v>5.3999999999999999E-2</v>
      </c>
    </row>
    <row r="13" spans="1:3" x14ac:dyDescent="0.35">
      <c r="A13" s="35" t="s">
        <v>192</v>
      </c>
      <c r="C13" s="36">
        <f>INDEX(Parametros_BESS!$I$5:$I$8,MATCH($C$4,Parametros_BESS!$A$5:$A$8,0))</f>
        <v>1.4999999999999999E-2</v>
      </c>
    </row>
    <row r="14" spans="1:3" x14ac:dyDescent="0.35">
      <c r="A14" s="35" t="s">
        <v>71</v>
      </c>
      <c r="C14" s="36">
        <f>INDEX(Parametros_BESS!$J$5:$J$8,MATCH($C$4,Parametros_BESS!$A$5:$A$8,0))</f>
        <v>0.2</v>
      </c>
    </row>
    <row r="15" spans="1:3" x14ac:dyDescent="0.35">
      <c r="A15" s="35" t="s">
        <v>193</v>
      </c>
      <c r="C15" s="32">
        <f>MATCH($C$5,{"Bajo","Medio","Alto"},0)</f>
        <v>2</v>
      </c>
    </row>
    <row r="17" spans="1:9" x14ac:dyDescent="0.35">
      <c r="A17" s="3" t="s">
        <v>194</v>
      </c>
    </row>
    <row r="18" spans="1:9" ht="33.75" customHeight="1" x14ac:dyDescent="0.35">
      <c r="A18" s="5" t="s">
        <v>167</v>
      </c>
      <c r="B18" s="5" t="s">
        <v>195</v>
      </c>
      <c r="C18" s="5" t="s">
        <v>196</v>
      </c>
      <c r="D18" s="5" t="s">
        <v>197</v>
      </c>
      <c r="E18" s="5" t="s">
        <v>198</v>
      </c>
      <c r="F18" s="5" t="s">
        <v>199</v>
      </c>
      <c r="G18" s="5" t="s">
        <v>200</v>
      </c>
      <c r="H18" s="5" t="s">
        <v>201</v>
      </c>
      <c r="I18" s="5" t="s">
        <v>202</v>
      </c>
    </row>
    <row r="19" spans="1:9" x14ac:dyDescent="0.35">
      <c r="A19" s="32">
        <v>2026</v>
      </c>
      <c r="B19" s="12">
        <f>($C$8*(1+MAX(0,1/1-Suministro_BESS!$A$13)*Suministro_BESS!$B$13)*$C$7*INDEX(Trayectorias!$B$15:$D$39,MATCH($A19,Trayectorias!$A$15:$A$39,0),$C$15)+$C$9*INDEX(Trayectorias!$K$15:$M$39,MATCH($A19,Trayectorias!$A$15:$A$39,0),$C$15)+$C$10*INDEX(Trayectorias!$K$15:$M$39,MATCH($A19,Trayectorias!$A$15:$A$39,0),$C$15)/1+$C$11*INDEX(Trayectorias!$K$15:$M$39,MATCH($A19,Trayectorias!$A$15:$A$39,0),$C$15)/($C$6*1000))*(1+$C$12)*(1+$C$13)/(1-$C$14)</f>
        <v>279.19443367593749</v>
      </c>
      <c r="C19" s="12">
        <f>($C$8*(1+MAX(0,1/2-Suministro_BESS!$A$13)*Suministro_BESS!$B$13)*$C$7*INDEX(Trayectorias!$B$15:$D$39,MATCH($A19,Trayectorias!$A$15:$A$39,0),$C$15)+$C$9*INDEX(Trayectorias!$K$15:$M$39,MATCH($A19,Trayectorias!$A$15:$A$39,0),$C$15)+$C$10*INDEX(Trayectorias!$K$15:$M$39,MATCH($A19,Trayectorias!$A$15:$A$39,0),$C$15)/2+$C$11*INDEX(Trayectorias!$K$15:$M$39,MATCH($A19,Trayectorias!$A$15:$A$39,0),$C$15)/($C$6*1000))*(1+$C$12)*(1+$C$13)/(1-$C$14)</f>
        <v>207.55193250093754</v>
      </c>
      <c r="D19" s="12">
        <f>($C$8*(1+MAX(0,1/3-Suministro_BESS!$A$13)*Suministro_BESS!$B$13)*$C$7*INDEX(Trayectorias!$B$15:$D$39,MATCH($A19,Trayectorias!$A$15:$A$39,0),$C$15)+$C$9*INDEX(Trayectorias!$K$15:$M$39,MATCH($A19,Trayectorias!$A$15:$A$39,0),$C$15)+$C$10*INDEX(Trayectorias!$K$15:$M$39,MATCH($A19,Trayectorias!$A$15:$A$39,0),$C$15)/3+$C$11*INDEX(Trayectorias!$K$15:$M$39,MATCH($A19,Trayectorias!$A$15:$A$39,0),$C$15)/($C$6*1000))*(1+$C$12)*(1+$C$13)/(1-$C$14)</f>
        <v>188.25077708427079</v>
      </c>
      <c r="E19" s="12">
        <f>($C$8*(1+MAX(0,1/4-Suministro_BESS!$A$13)*Suministro_BESS!$B$13)*$C$7*INDEX(Trayectorias!$B$15:$D$39,MATCH($A19,Trayectorias!$A$15:$A$39,0),$C$15)+$C$9*INDEX(Trayectorias!$K$15:$M$39,MATCH($A19,Trayectorias!$A$15:$A$39,0),$C$15)+$C$10*INDEX(Trayectorias!$K$15:$M$39,MATCH($A19,Trayectorias!$A$15:$A$39,0),$C$15)/4+$C$11*INDEX(Trayectorias!$K$15:$M$39,MATCH($A19,Trayectorias!$A$15:$A$39,0),$C$15)/($C$6*1000))*(1+$C$12)*(1+$C$13)/(1-$C$14)</f>
        <v>178.60019937593751</v>
      </c>
      <c r="F19" s="12">
        <f>($C$8*(1+MAX(0,1/5-Suministro_BESS!$A$13)*Suministro_BESS!$B$13)*$C$7*INDEX(Trayectorias!$B$15:$D$39,MATCH($A19,Trayectorias!$A$15:$A$39,0),$C$15)+$C$9*INDEX(Trayectorias!$K$15:$M$39,MATCH($A19,Trayectorias!$A$15:$A$39,0),$C$15)+$C$10*INDEX(Trayectorias!$K$15:$M$39,MATCH($A19,Trayectorias!$A$15:$A$39,0),$C$15)/5+$C$11*INDEX(Trayectorias!$K$15:$M$39,MATCH($A19,Trayectorias!$A$15:$A$39,0),$C$15)/($C$6*1000))*(1+$C$12)*(1+$C$13)/(1-$C$14)</f>
        <v>172.80985275093747</v>
      </c>
      <c r="G19" s="12">
        <f>($C$8*(1+MAX(0,1/6-Suministro_BESS!$A$13)*Suministro_BESS!$B$13)*$C$7*INDEX(Trayectorias!$B$15:$D$39,MATCH($A19,Trayectorias!$A$15:$A$39,0),$C$15)+$C$9*INDEX(Trayectorias!$K$15:$M$39,MATCH($A19,Trayectorias!$A$15:$A$39,0),$C$15)+$C$10*INDEX(Trayectorias!$K$15:$M$39,MATCH($A19,Trayectorias!$A$15:$A$39,0),$C$15)/6+$C$11*INDEX(Trayectorias!$K$15:$M$39,MATCH($A19,Trayectorias!$A$15:$A$39,0),$C$15)/($C$6*1000))*(1+$C$12)*(1+$C$13)/(1-$C$14)</f>
        <v>168.94962166760413</v>
      </c>
      <c r="H19" s="12">
        <f>($C$8*(1+MAX(0,1/7-Suministro_BESS!$A$13)*Suministro_BESS!$B$13)*$C$7*INDEX(Trayectorias!$B$15:$D$39,MATCH($A19,Trayectorias!$A$15:$A$39,0),$C$15)+$C$9*INDEX(Trayectorias!$K$15:$M$39,MATCH($A19,Trayectorias!$A$15:$A$39,0),$C$15)+$C$10*INDEX(Trayectorias!$K$15:$M$39,MATCH($A19,Trayectorias!$A$15:$A$39,0),$C$15)/7+$C$11*INDEX(Trayectorias!$K$15:$M$39,MATCH($A19,Trayectorias!$A$15:$A$39,0),$C$15)/($C$6*1000))*(1+$C$12)*(1+$C$13)/(1-$C$14)</f>
        <v>166.19231375093747</v>
      </c>
      <c r="I19" s="12">
        <f>($C$8*(1+MAX(0,1/8-Suministro_BESS!$A$13)*Suministro_BESS!$B$13)*$C$7*INDEX(Trayectorias!$B$15:$D$39,MATCH($A19,Trayectorias!$A$15:$A$39,0),$C$15)+$C$9*INDEX(Trayectorias!$K$15:$M$39,MATCH($A19,Trayectorias!$A$15:$A$39,0),$C$15)+$C$10*INDEX(Trayectorias!$K$15:$M$39,MATCH($A19,Trayectorias!$A$15:$A$39,0),$C$15)/8+$C$11*INDEX(Trayectorias!$K$15:$M$39,MATCH($A19,Trayectorias!$A$15:$A$39,0),$C$15)/($C$6*1000))*(1+$C$12)*(1+$C$13)/(1-$C$14)</f>
        <v>164.12433281343752</v>
      </c>
    </row>
    <row r="20" spans="1:9" x14ac:dyDescent="0.35">
      <c r="A20" s="32">
        <v>2027</v>
      </c>
      <c r="B20" s="12">
        <f>($C$8*(1+MAX(0,1/1-Suministro_BESS!$A$13)*Suministro_BESS!$B$13)*$C$7*INDEX(Trayectorias!$B$15:$D$39,MATCH($A20,Trayectorias!$A$15:$A$39,0),$C$15)+$C$9*INDEX(Trayectorias!$K$15:$M$39,MATCH($A20,Trayectorias!$A$15:$A$39,0),$C$15)+$C$10*INDEX(Trayectorias!$K$15:$M$39,MATCH($A20,Trayectorias!$A$15:$A$39,0),$C$15)/1+$C$11*INDEX(Trayectorias!$K$15:$M$39,MATCH($A20,Trayectorias!$A$15:$A$39,0),$C$15)/($C$6*1000))*(1+$C$12)*(1+$C$13)/(1-$C$14)</f>
        <v>272.37684633871879</v>
      </c>
      <c r="C20" s="12">
        <f>($C$8*(1+MAX(0,1/2-Suministro_BESS!$A$13)*Suministro_BESS!$B$13)*$C$7*INDEX(Trayectorias!$B$15:$D$39,MATCH($A20,Trayectorias!$A$15:$A$39,0),$C$15)+$C$9*INDEX(Trayectorias!$K$15:$M$39,MATCH($A20,Trayectorias!$A$15:$A$39,0),$C$15)+$C$10*INDEX(Trayectorias!$K$15:$M$39,MATCH($A20,Trayectorias!$A$15:$A$39,0),$C$15)/2+$C$11*INDEX(Trayectorias!$K$15:$M$39,MATCH($A20,Trayectorias!$A$15:$A$39,0),$C$15)/($C$6*1000))*(1+$C$12)*(1+$C$13)/(1-$C$14)</f>
        <v>202.28505615491883</v>
      </c>
      <c r="D20" s="12">
        <f>($C$8*(1+MAX(0,1/3-Suministro_BESS!$A$13)*Suministro_BESS!$B$13)*$C$7*INDEX(Trayectorias!$B$15:$D$39,MATCH($A20,Trayectorias!$A$15:$A$39,0),$C$15)+$C$9*INDEX(Trayectorias!$K$15:$M$39,MATCH($A20,Trayectorias!$A$15:$A$39,0),$C$15)+$C$10*INDEX(Trayectorias!$K$15:$M$39,MATCH($A20,Trayectorias!$A$15:$A$39,0),$C$15)/3+$C$11*INDEX(Trayectorias!$K$15:$M$39,MATCH($A20,Trayectorias!$A$15:$A$39,0),$C$15)/($C$6*1000))*(1+$C$12)*(1+$C$13)/(1-$C$14)</f>
        <v>183.36799373104384</v>
      </c>
      <c r="E20" s="12">
        <f>($C$8*(1+MAX(0,1/4-Suministro_BESS!$A$13)*Suministro_BESS!$B$13)*$C$7*INDEX(Trayectorias!$B$15:$D$39,MATCH($A20,Trayectorias!$A$15:$A$39,0),$C$15)+$C$9*INDEX(Trayectorias!$K$15:$M$39,MATCH($A20,Trayectorias!$A$15:$A$39,0),$C$15)+$C$10*INDEX(Trayectorias!$K$15:$M$39,MATCH($A20,Trayectorias!$A$15:$A$39,0),$C$15)/4+$C$11*INDEX(Trayectorias!$K$15:$M$39,MATCH($A20,Trayectorias!$A$15:$A$39,0),$C$15)/($C$6*1000))*(1+$C$12)*(1+$C$13)/(1-$C$14)</f>
        <v>173.90946251910634</v>
      </c>
      <c r="F20" s="12">
        <f>($C$8*(1+MAX(0,1/5-Suministro_BESS!$A$13)*Suministro_BESS!$B$13)*$C$7*INDEX(Trayectorias!$B$15:$D$39,MATCH($A20,Trayectorias!$A$15:$A$39,0),$C$15)+$C$9*INDEX(Trayectorias!$K$15:$M$39,MATCH($A20,Trayectorias!$A$15:$A$39,0),$C$15)+$C$10*INDEX(Trayectorias!$K$15:$M$39,MATCH($A20,Trayectorias!$A$15:$A$39,0),$C$15)/5+$C$11*INDEX(Trayectorias!$K$15:$M$39,MATCH($A20,Trayectorias!$A$15:$A$39,0),$C$15)/($C$6*1000))*(1+$C$12)*(1+$C$13)/(1-$C$14)</f>
        <v>168.23434379194384</v>
      </c>
      <c r="G20" s="12">
        <f>($C$8*(1+MAX(0,1/6-Suministro_BESS!$A$13)*Suministro_BESS!$B$13)*$C$7*INDEX(Trayectorias!$B$15:$D$39,MATCH($A20,Trayectorias!$A$15:$A$39,0),$C$15)+$C$9*INDEX(Trayectorias!$K$15:$M$39,MATCH($A20,Trayectorias!$A$15:$A$39,0),$C$15)+$C$10*INDEX(Trayectorias!$K$15:$M$39,MATCH($A20,Trayectorias!$A$15:$A$39,0),$C$15)/6+$C$11*INDEX(Trayectorias!$K$15:$M$39,MATCH($A20,Trayectorias!$A$15:$A$39,0),$C$15)/($C$6*1000))*(1+$C$12)*(1+$C$13)/(1-$C$14)</f>
        <v>164.45093130716879</v>
      </c>
      <c r="H20" s="12">
        <f>($C$8*(1+MAX(0,1/7-Suministro_BESS!$A$13)*Suministro_BESS!$B$13)*$C$7*INDEX(Trayectorias!$B$15:$D$39,MATCH($A20,Trayectorias!$A$15:$A$39,0),$C$15)+$C$9*INDEX(Trayectorias!$K$15:$M$39,MATCH($A20,Trayectorias!$A$15:$A$39,0),$C$15)+$C$10*INDEX(Trayectorias!$K$15:$M$39,MATCH($A20,Trayectorias!$A$15:$A$39,0),$C$15)/7+$C$11*INDEX(Trayectorias!$K$15:$M$39,MATCH($A20,Trayectorias!$A$15:$A$39,0),$C$15)/($C$6*1000))*(1+$C$12)*(1+$C$13)/(1-$C$14)</f>
        <v>161.74849381804381</v>
      </c>
      <c r="I20" s="12">
        <f>($C$8*(1+MAX(0,1/8-Suministro_BESS!$A$13)*Suministro_BESS!$B$13)*$C$7*INDEX(Trayectorias!$B$15:$D$39,MATCH($A20,Trayectorias!$A$15:$A$39,0),$C$15)+$C$9*INDEX(Trayectorias!$K$15:$M$39,MATCH($A20,Trayectorias!$A$15:$A$39,0),$C$15)+$C$10*INDEX(Trayectorias!$K$15:$M$39,MATCH($A20,Trayectorias!$A$15:$A$39,0),$C$15)/8+$C$11*INDEX(Trayectorias!$K$15:$M$39,MATCH($A20,Trayectorias!$A$15:$A$39,0),$C$15)/($C$6*1000))*(1+$C$12)*(1+$C$13)/(1-$C$14)</f>
        <v>159.72166570120007</v>
      </c>
    </row>
    <row r="21" spans="1:9" x14ac:dyDescent="0.35">
      <c r="A21" s="32">
        <v>2028</v>
      </c>
      <c r="B21" s="12">
        <f>($C$8*(1+MAX(0,1/1-Suministro_BESS!$A$13)*Suministro_BESS!$B$13)*$C$7*INDEX(Trayectorias!$B$15:$D$39,MATCH($A21,Trayectorias!$A$15:$A$39,0),$C$15)+$C$9*INDEX(Trayectorias!$K$15:$M$39,MATCH($A21,Trayectorias!$A$15:$A$39,0),$C$15)+$C$10*INDEX(Trayectorias!$K$15:$M$39,MATCH($A21,Trayectorias!$A$15:$A$39,0),$C$15)/1+$C$11*INDEX(Trayectorias!$K$15:$M$39,MATCH($A21,Trayectorias!$A$15:$A$39,0),$C$15)/($C$6*1000))*(1+$C$12)*(1+$C$13)/(1-$C$14)</f>
        <v>265.73151591461573</v>
      </c>
      <c r="C21" s="12">
        <f>($C$8*(1+MAX(0,1/2-Suministro_BESS!$A$13)*Suministro_BESS!$B$13)*$C$7*INDEX(Trayectorias!$B$15:$D$39,MATCH($A21,Trayectorias!$A$15:$A$39,0),$C$15)+$C$9*INDEX(Trayectorias!$K$15:$M$39,MATCH($A21,Trayectorias!$A$15:$A$39,0),$C$15)+$C$10*INDEX(Trayectorias!$K$15:$M$39,MATCH($A21,Trayectorias!$A$15:$A$39,0),$C$15)/2+$C$11*INDEX(Trayectorias!$K$15:$M$39,MATCH($A21,Trayectorias!$A$15:$A$39,0),$C$15)/($C$6*1000))*(1+$C$12)*(1+$C$13)/(1-$C$14)</f>
        <v>197.1559518419742</v>
      </c>
      <c r="D21" s="12">
        <f>($C$8*(1+MAX(0,1/3-Suministro_BESS!$A$13)*Suministro_BESS!$B$13)*$C$7*INDEX(Trayectorias!$B$15:$D$39,MATCH($A21,Trayectorias!$A$15:$A$39,0),$C$15)+$C$9*INDEX(Trayectorias!$K$15:$M$39,MATCH($A21,Trayectorias!$A$15:$A$39,0),$C$15)+$C$10*INDEX(Trayectorias!$K$15:$M$39,MATCH($A21,Trayectorias!$A$15:$A$39,0),$C$15)/3+$C$11*INDEX(Trayectorias!$K$15:$M$39,MATCH($A21,Trayectorias!$A$15:$A$39,0),$C$15)/($C$6*1000))*(1+$C$12)*(1+$C$13)/(1-$C$14)</f>
        <v>178.6153389603343</v>
      </c>
      <c r="E21" s="12">
        <f>($C$8*(1+MAX(0,1/4-Suministro_BESS!$A$13)*Suministro_BESS!$B$13)*$C$7*INDEX(Trayectorias!$B$15:$D$39,MATCH($A21,Trayectorias!$A$15:$A$39,0),$C$15)+$C$9*INDEX(Trayectorias!$K$15:$M$39,MATCH($A21,Trayectorias!$A$15:$A$39,0),$C$15)+$C$10*INDEX(Trayectorias!$K$15:$M$39,MATCH($A21,Trayectorias!$A$15:$A$39,0),$C$15)/4+$C$11*INDEX(Trayectorias!$K$15:$M$39,MATCH($A21,Trayectorias!$A$15:$A$39,0),$C$15)/($C$6*1000))*(1+$C$12)*(1+$C$13)/(1-$C$14)</f>
        <v>169.34503251951435</v>
      </c>
      <c r="F21" s="12">
        <f>($C$8*(1+MAX(0,1/5-Suministro_BESS!$A$13)*Suministro_BESS!$B$13)*$C$7*INDEX(Trayectorias!$B$15:$D$39,MATCH($A21,Trayectorias!$A$15:$A$39,0),$C$15)+$C$9*INDEX(Trayectorias!$K$15:$M$39,MATCH($A21,Trayectorias!$A$15:$A$39,0),$C$15)+$C$10*INDEX(Trayectorias!$K$15:$M$39,MATCH($A21,Trayectorias!$A$15:$A$39,0),$C$15)/5+$C$11*INDEX(Trayectorias!$K$15:$M$39,MATCH($A21,Trayectorias!$A$15:$A$39,0),$C$15)/($C$6*1000))*(1+$C$12)*(1+$C$13)/(1-$C$14)</f>
        <v>163.78284865502241</v>
      </c>
      <c r="G21" s="12">
        <f>($C$8*(1+MAX(0,1/6-Suministro_BESS!$A$13)*Suministro_BESS!$B$13)*$C$7*INDEX(Trayectorias!$B$15:$D$39,MATCH($A21,Trayectorias!$A$15:$A$39,0),$C$15)+$C$9*INDEX(Trayectorias!$K$15:$M$39,MATCH($A21,Trayectorias!$A$15:$A$39,0),$C$15)+$C$10*INDEX(Trayectorias!$K$15:$M$39,MATCH($A21,Trayectorias!$A$15:$A$39,0),$C$15)/6+$C$11*INDEX(Trayectorias!$K$15:$M$39,MATCH($A21,Trayectorias!$A$15:$A$39,0),$C$15)/($C$6*1000))*(1+$C$12)*(1+$C$13)/(1-$C$14)</f>
        <v>160.0747260786944</v>
      </c>
      <c r="H21" s="12">
        <f>($C$8*(1+MAX(0,1/7-Suministro_BESS!$A$13)*Suministro_BESS!$B$13)*$C$7*INDEX(Trayectorias!$B$15:$D$39,MATCH($A21,Trayectorias!$A$15:$A$39,0),$C$15)+$C$9*INDEX(Trayectorias!$K$15:$M$39,MATCH($A21,Trayectorias!$A$15:$A$39,0),$C$15)+$C$10*INDEX(Trayectorias!$K$15:$M$39,MATCH($A21,Trayectorias!$A$15:$A$39,0),$C$15)/7+$C$11*INDEX(Trayectorias!$K$15:$M$39,MATCH($A21,Trayectorias!$A$15:$A$39,0),$C$15)/($C$6*1000))*(1+$C$12)*(1+$C$13)/(1-$C$14)</f>
        <v>157.426067095603</v>
      </c>
      <c r="I21" s="12">
        <f>($C$8*(1+MAX(0,1/8-Suministro_BESS!$A$13)*Suministro_BESS!$B$13)*$C$7*INDEX(Trayectorias!$B$15:$D$39,MATCH($A21,Trayectorias!$A$15:$A$39,0),$C$15)+$C$9*INDEX(Trayectorias!$K$15:$M$39,MATCH($A21,Trayectorias!$A$15:$A$39,0),$C$15)+$C$10*INDEX(Trayectorias!$K$15:$M$39,MATCH($A21,Trayectorias!$A$15:$A$39,0),$C$15)/8+$C$11*INDEX(Trayectorias!$K$15:$M$39,MATCH($A21,Trayectorias!$A$15:$A$39,0),$C$15)/($C$6*1000))*(1+$C$12)*(1+$C$13)/(1-$C$14)</f>
        <v>155.43957285828444</v>
      </c>
    </row>
    <row r="22" spans="1:9" x14ac:dyDescent="0.35">
      <c r="A22" s="32">
        <v>2029</v>
      </c>
      <c r="B22" s="12">
        <f>($C$8*(1+MAX(0,1/1-Suministro_BESS!$A$13)*Suministro_BESS!$B$13)*$C$7*INDEX(Trayectorias!$B$15:$D$39,MATCH($A22,Trayectorias!$A$15:$A$39,0),$C$15)+$C$9*INDEX(Trayectorias!$K$15:$M$39,MATCH($A22,Trayectorias!$A$15:$A$39,0),$C$15)+$C$10*INDEX(Trayectorias!$K$15:$M$39,MATCH($A22,Trayectorias!$A$15:$A$39,0),$C$15)/1+$C$11*INDEX(Trayectorias!$K$15:$M$39,MATCH($A22,Trayectorias!$A$15:$A$39,0),$C$15)/($C$6*1000))*(1+$C$12)*(1+$C$13)/(1-$C$14)</f>
        <v>259.25395347022925</v>
      </c>
      <c r="C22" s="12">
        <f>($C$8*(1+MAX(0,1/2-Suministro_BESS!$A$13)*Suministro_BESS!$B$13)*$C$7*INDEX(Trayectorias!$B$15:$D$39,MATCH($A22,Trayectorias!$A$15:$A$39,0),$C$15)+$C$9*INDEX(Trayectorias!$K$15:$M$39,MATCH($A22,Trayectorias!$A$15:$A$39,0),$C$15)+$C$10*INDEX(Trayectorias!$K$15:$M$39,MATCH($A22,Trayectorias!$A$15:$A$39,0),$C$15)/2+$C$11*INDEX(Trayectorias!$K$15:$M$39,MATCH($A22,Trayectorias!$A$15:$A$39,0),$C$15)/($C$6*1000))*(1+$C$12)*(1+$C$13)/(1-$C$14)</f>
        <v>192.16092202402555</v>
      </c>
      <c r="D22" s="12">
        <f>($C$8*(1+MAX(0,1/3-Suministro_BESS!$A$13)*Suministro_BESS!$B$13)*$C$7*INDEX(Trayectorias!$B$15:$D$39,MATCH($A22,Trayectorias!$A$15:$A$39,0),$C$15)+$C$9*INDEX(Trayectorias!$K$15:$M$39,MATCH($A22,Trayectorias!$A$15:$A$39,0),$C$15)+$C$10*INDEX(Trayectorias!$K$15:$M$39,MATCH($A22,Trayectorias!$A$15:$A$39,0),$C$15)/3+$C$11*INDEX(Trayectorias!$K$15:$M$39,MATCH($A22,Trayectorias!$A$15:$A$39,0),$C$15)/($C$6*1000))*(1+$C$12)*(1+$C$13)/(1-$C$14)</f>
        <v>173.98926733873026</v>
      </c>
      <c r="E22" s="12">
        <f>($C$8*(1+MAX(0,1/4-Suministro_BESS!$A$13)*Suministro_BESS!$B$13)*$C$7*INDEX(Trayectorias!$B$15:$D$39,MATCH($A22,Trayectorias!$A$15:$A$39,0),$C$15)+$C$9*INDEX(Trayectorias!$K$15:$M$39,MATCH($A22,Trayectorias!$A$15:$A$39,0),$C$15)+$C$10*INDEX(Trayectorias!$K$15:$M$39,MATCH($A22,Trayectorias!$A$15:$A$39,0),$C$15)/4+$C$11*INDEX(Trayectorias!$K$15:$M$39,MATCH($A22,Trayectorias!$A$15:$A$39,0),$C$15)/($C$6*1000))*(1+$C$12)*(1+$C$13)/(1-$C$14)</f>
        <v>164.90343999608265</v>
      </c>
      <c r="F22" s="12">
        <f>($C$8*(1+MAX(0,1/5-Suministro_BESS!$A$13)*Suministro_BESS!$B$13)*$C$7*INDEX(Trayectorias!$B$15:$D$39,MATCH($A22,Trayectorias!$A$15:$A$39,0),$C$15)+$C$9*INDEX(Trayectorias!$K$15:$M$39,MATCH($A22,Trayectorias!$A$15:$A$39,0),$C$15)+$C$10*INDEX(Trayectorias!$K$15:$M$39,MATCH($A22,Trayectorias!$A$15:$A$39,0),$C$15)/5+$C$11*INDEX(Trayectorias!$K$15:$M$39,MATCH($A22,Trayectorias!$A$15:$A$39,0),$C$15)/($C$6*1000))*(1+$C$12)*(1+$C$13)/(1-$C$14)</f>
        <v>159.45194359049407</v>
      </c>
      <c r="G22" s="12">
        <f>($C$8*(1+MAX(0,1/6-Suministro_BESS!$A$13)*Suministro_BESS!$B$13)*$C$7*INDEX(Trayectorias!$B$15:$D$39,MATCH($A22,Trayectorias!$A$15:$A$39,0),$C$15)+$C$9*INDEX(Trayectorias!$K$15:$M$39,MATCH($A22,Trayectorias!$A$15:$A$39,0),$C$15)+$C$10*INDEX(Trayectorias!$K$15:$M$39,MATCH($A22,Trayectorias!$A$15:$A$39,0),$C$15)/6+$C$11*INDEX(Trayectorias!$K$15:$M$39,MATCH($A22,Trayectorias!$A$15:$A$39,0),$C$15)/($C$6*1000))*(1+$C$12)*(1+$C$13)/(1-$C$14)</f>
        <v>155.81761265343502</v>
      </c>
      <c r="H22" s="12">
        <f>($C$8*(1+MAX(0,1/7-Suministro_BESS!$A$13)*Suministro_BESS!$B$13)*$C$7*INDEX(Trayectorias!$B$15:$D$39,MATCH($A22,Trayectorias!$A$15:$A$39,0),$C$15)+$C$9*INDEX(Trayectorias!$K$15:$M$39,MATCH($A22,Trayectorias!$A$15:$A$39,0),$C$15)+$C$10*INDEX(Trayectorias!$K$15:$M$39,MATCH($A22,Trayectorias!$A$15:$A$39,0),$C$15)/7+$C$11*INDEX(Trayectorias!$K$15:$M$39,MATCH($A22,Trayectorias!$A$15:$A$39,0),$C$15)/($C$6*1000))*(1+$C$12)*(1+$C$13)/(1-$C$14)</f>
        <v>153.22166198410713</v>
      </c>
      <c r="I22" s="12">
        <f>($C$8*(1+MAX(0,1/8-Suministro_BESS!$A$13)*Suministro_BESS!$B$13)*$C$7*INDEX(Trayectorias!$B$15:$D$39,MATCH($A22,Trayectorias!$A$15:$A$39,0),$C$15)+$C$9*INDEX(Trayectorias!$K$15:$M$39,MATCH($A22,Trayectorias!$A$15:$A$39,0),$C$15)+$C$10*INDEX(Trayectorias!$K$15:$M$39,MATCH($A22,Trayectorias!$A$15:$A$39,0),$C$15)/8+$C$11*INDEX(Trayectorias!$K$15:$M$39,MATCH($A22,Trayectorias!$A$15:$A$39,0),$C$15)/($C$6*1000))*(1+$C$12)*(1+$C$13)/(1-$C$14)</f>
        <v>151.27469898211123</v>
      </c>
    </row>
    <row r="23" spans="1:9" x14ac:dyDescent="0.35">
      <c r="A23" s="32">
        <v>2030</v>
      </c>
      <c r="B23" s="12">
        <f>($C$8*(1+MAX(0,1/1-Suministro_BESS!$A$13)*Suministro_BESS!$B$13)*$C$7*INDEX(Trayectorias!$B$15:$D$39,MATCH($A23,Trayectorias!$A$15:$A$39,0),$C$15)+$C$9*INDEX(Trayectorias!$K$15:$M$39,MATCH($A23,Trayectorias!$A$15:$A$39,0),$C$15)+$C$10*INDEX(Trayectorias!$K$15:$M$39,MATCH($A23,Trayectorias!$A$15:$A$39,0),$C$15)/1+$C$11*INDEX(Trayectorias!$K$15:$M$39,MATCH($A23,Trayectorias!$A$15:$A$39,0),$C$15)/($C$6*1000))*(1+$C$12)*(1+$C$13)/(1-$C$14)</f>
        <v>252.93979017153896</v>
      </c>
      <c r="C23" s="12">
        <f>($C$8*(1+MAX(0,1/2-Suministro_BESS!$A$13)*Suministro_BESS!$B$13)*$C$7*INDEX(Trayectorias!$B$15:$D$39,MATCH($A23,Trayectorias!$A$15:$A$39,0),$C$15)+$C$9*INDEX(Trayectorias!$K$15:$M$39,MATCH($A23,Trayectorias!$A$15:$A$39,0),$C$15)+$C$10*INDEX(Trayectorias!$K$15:$M$39,MATCH($A23,Trayectorias!$A$15:$A$39,0),$C$15)/2+$C$11*INDEX(Trayectorias!$K$15:$M$39,MATCH($A23,Trayectorias!$A$15:$A$39,0),$C$15)/($C$6*1000))*(1+$C$12)*(1+$C$13)/(1-$C$14)</f>
        <v>187.29637046436656</v>
      </c>
      <c r="D23" s="12">
        <f>($C$8*(1+MAX(0,1/3-Suministro_BESS!$A$13)*Suministro_BESS!$B$13)*$C$7*INDEX(Trayectorias!$B$15:$D$39,MATCH($A23,Trayectorias!$A$15:$A$39,0),$C$15)+$C$9*INDEX(Trayectorias!$K$15:$M$39,MATCH($A23,Trayectorias!$A$15:$A$39,0),$C$15)+$C$10*INDEX(Trayectorias!$K$15:$M$39,MATCH($A23,Trayectorias!$A$15:$A$39,0),$C$15)/3+$C$11*INDEX(Trayectorias!$K$15:$M$39,MATCH($A23,Trayectorias!$A$15:$A$39,0),$C$15)/($C$6*1000))*(1+$C$12)*(1+$C$13)/(1-$C$14)</f>
        <v>169.48633170730866</v>
      </c>
      <c r="E23" s="12">
        <f>($C$8*(1+MAX(0,1/4-Suministro_BESS!$A$13)*Suministro_BESS!$B$13)*$C$7*INDEX(Trayectorias!$B$15:$D$39,MATCH($A23,Trayectorias!$A$15:$A$39,0),$C$15)+$C$9*INDEX(Trayectorias!$K$15:$M$39,MATCH($A23,Trayectorias!$A$15:$A$39,0),$C$15)+$C$10*INDEX(Trayectorias!$K$15:$M$39,MATCH($A23,Trayectorias!$A$15:$A$39,0),$C$15)/4+$C$11*INDEX(Trayectorias!$K$15:$M$39,MATCH($A23,Trayectorias!$A$15:$A$39,0),$C$15)/($C$6*1000))*(1+$C$12)*(1+$C$13)/(1-$C$14)</f>
        <v>160.58131232877975</v>
      </c>
      <c r="F23" s="12">
        <f>($C$8*(1+MAX(0,1/5-Suministro_BESS!$A$13)*Suministro_BESS!$B$13)*$C$7*INDEX(Trayectorias!$B$15:$D$39,MATCH($A23,Trayectorias!$A$15:$A$39,0),$C$15)+$C$9*INDEX(Trayectorias!$K$15:$M$39,MATCH($A23,Trayectorias!$A$15:$A$39,0),$C$15)+$C$10*INDEX(Trayectorias!$K$15:$M$39,MATCH($A23,Trayectorias!$A$15:$A$39,0),$C$15)/5+$C$11*INDEX(Trayectorias!$K$15:$M$39,MATCH($A23,Trayectorias!$A$15:$A$39,0),$C$15)/($C$6*1000))*(1+$C$12)*(1+$C$13)/(1-$C$14)</f>
        <v>155.23830070166235</v>
      </c>
      <c r="G23" s="12">
        <f>($C$8*(1+MAX(0,1/6-Suministro_BESS!$A$13)*Suministro_BESS!$B$13)*$C$7*INDEX(Trayectorias!$B$15:$D$39,MATCH($A23,Trayectorias!$A$15:$A$39,0),$C$15)+$C$9*INDEX(Trayectorias!$K$15:$M$39,MATCH($A23,Trayectorias!$A$15:$A$39,0),$C$15)+$C$10*INDEX(Trayectorias!$K$15:$M$39,MATCH($A23,Trayectorias!$A$15:$A$39,0),$C$15)/6+$C$11*INDEX(Trayectorias!$K$15:$M$39,MATCH($A23,Trayectorias!$A$15:$A$39,0),$C$15)/($C$6*1000))*(1+$C$12)*(1+$C$13)/(1-$C$14)</f>
        <v>151.6762929502508</v>
      </c>
      <c r="H23" s="12">
        <f>($C$8*(1+MAX(0,1/7-Suministro_BESS!$A$13)*Suministro_BESS!$B$13)*$C$7*INDEX(Trayectorias!$B$15:$D$39,MATCH($A23,Trayectorias!$A$15:$A$39,0),$C$15)+$C$9*INDEX(Trayectorias!$K$15:$M$39,MATCH($A23,Trayectorias!$A$15:$A$39,0),$C$15)+$C$10*INDEX(Trayectorias!$K$15:$M$39,MATCH($A23,Trayectorias!$A$15:$A$39,0),$C$15)/7+$C$11*INDEX(Trayectorias!$K$15:$M$39,MATCH($A23,Trayectorias!$A$15:$A$39,0),$C$15)/($C$6*1000))*(1+$C$12)*(1+$C$13)/(1-$C$14)</f>
        <v>149.13200169924252</v>
      </c>
      <c r="I23" s="12">
        <f>($C$8*(1+MAX(0,1/8-Suministro_BESS!$A$13)*Suministro_BESS!$B$13)*$C$7*INDEX(Trayectorias!$B$15:$D$39,MATCH($A23,Trayectorias!$A$15:$A$39,0),$C$15)+$C$9*INDEX(Trayectorias!$K$15:$M$39,MATCH($A23,Trayectorias!$A$15:$A$39,0),$C$15)+$C$10*INDEX(Trayectorias!$K$15:$M$39,MATCH($A23,Trayectorias!$A$15:$A$39,0),$C$15)/8+$C$11*INDEX(Trayectorias!$K$15:$M$39,MATCH($A23,Trayectorias!$A$15:$A$39,0),$C$15)/($C$6*1000))*(1+$C$12)*(1+$C$13)/(1-$C$14)</f>
        <v>147.22378326098632</v>
      </c>
    </row>
    <row r="24" spans="1:9" x14ac:dyDescent="0.35">
      <c r="A24" s="32">
        <v>2031</v>
      </c>
      <c r="B24" s="12">
        <f>($C$8*(1+MAX(0,1/1-Suministro_BESS!$A$13)*Suministro_BESS!$B$13)*$C$7*INDEX(Trayectorias!$B$15:$D$39,MATCH($A24,Trayectorias!$A$15:$A$39,0),$C$15)+$C$9*INDEX(Trayectorias!$K$15:$M$39,MATCH($A24,Trayectorias!$A$15:$A$39,0),$C$15)+$C$10*INDEX(Trayectorias!$K$15:$M$39,MATCH($A24,Trayectorias!$A$15:$A$39,0),$C$15)/1+$C$11*INDEX(Trayectorias!$K$15:$M$39,MATCH($A24,Trayectorias!$A$15:$A$39,0),$C$15)/($C$6*1000))*(1+$C$12)*(1+$C$13)/(1-$C$14)</f>
        <v>246.78477400160691</v>
      </c>
      <c r="C24" s="12">
        <f>($C$8*(1+MAX(0,1/2-Suministro_BESS!$A$13)*Suministro_BESS!$B$13)*$C$7*INDEX(Trayectorias!$B$15:$D$39,MATCH($A24,Trayectorias!$A$15:$A$39,0),$C$15)+$C$9*INDEX(Trayectorias!$K$15:$M$39,MATCH($A24,Trayectorias!$A$15:$A$39,0),$C$15)+$C$10*INDEX(Trayectorias!$K$15:$M$39,MATCH($A24,Trayectorias!$A$15:$A$39,0),$C$15)/2+$C$11*INDEX(Trayectorias!$K$15:$M$39,MATCH($A24,Trayectorias!$A$15:$A$39,0),$C$15)/($C$6*1000))*(1+$C$12)*(1+$C$13)/(1-$C$14)</f>
        <v>182.55879940787486</v>
      </c>
      <c r="D24" s="12">
        <f>($C$8*(1+MAX(0,1/3-Suministro_BESS!$A$13)*Suministro_BESS!$B$13)*$C$7*INDEX(Trayectorias!$B$15:$D$39,MATCH($A24,Trayectorias!$A$15:$A$39,0),$C$15)+$C$9*INDEX(Trayectorias!$K$15:$M$39,MATCH($A24,Trayectorias!$A$15:$A$39,0),$C$15)+$C$10*INDEX(Trayectorias!$K$15:$M$39,MATCH($A24,Trayectorias!$A$15:$A$39,0),$C$15)/3+$C$11*INDEX(Trayectorias!$K$15:$M$39,MATCH($A24,Trayectorias!$A$15:$A$39,0),$C$15)/($C$6*1000))*(1+$C$12)*(1+$C$13)/(1-$C$14)</f>
        <v>165.1031804220824</v>
      </c>
      <c r="E24" s="12">
        <f>($C$8*(1+MAX(0,1/4-Suministro_BESS!$A$13)*Suministro_BESS!$B$13)*$C$7*INDEX(Trayectorias!$B$15:$D$39,MATCH($A24,Trayectorias!$A$15:$A$39,0),$C$15)+$C$9*INDEX(Trayectorias!$K$15:$M$39,MATCH($A24,Trayectorias!$A$15:$A$39,0),$C$15)+$C$10*INDEX(Trayectorias!$K$15:$M$39,MATCH($A24,Trayectorias!$A$15:$A$39,0),$C$15)/4+$C$11*INDEX(Trayectorias!$K$15:$M$39,MATCH($A24,Trayectorias!$A$15:$A$39,0),$C$15)/($C$6*1000))*(1+$C$12)*(1+$C$13)/(1-$C$14)</f>
        <v>156.3753709291862</v>
      </c>
      <c r="F24" s="12">
        <f>($C$8*(1+MAX(0,1/5-Suministro_BESS!$A$13)*Suministro_BESS!$B$13)*$C$7*INDEX(Trayectorias!$B$15:$D$39,MATCH($A24,Trayectorias!$A$15:$A$39,0),$C$15)+$C$9*INDEX(Trayectorias!$K$15:$M$39,MATCH($A24,Trayectorias!$A$15:$A$39,0),$C$15)+$C$10*INDEX(Trayectorias!$K$15:$M$39,MATCH($A24,Trayectorias!$A$15:$A$39,0),$C$15)/5+$C$11*INDEX(Trayectorias!$K$15:$M$39,MATCH($A24,Trayectorias!$A$15:$A$39,0),$C$15)/($C$6*1000))*(1+$C$12)*(1+$C$13)/(1-$C$14)</f>
        <v>151.13868523344848</v>
      </c>
      <c r="G24" s="12">
        <f>($C$8*(1+MAX(0,1/6-Suministro_BESS!$A$13)*Suministro_BESS!$B$13)*$C$7*INDEX(Trayectorias!$B$15:$D$39,MATCH($A24,Trayectorias!$A$15:$A$39,0),$C$15)+$C$9*INDEX(Trayectorias!$K$15:$M$39,MATCH($A24,Trayectorias!$A$15:$A$39,0),$C$15)+$C$10*INDEX(Trayectorias!$K$15:$M$39,MATCH($A24,Trayectorias!$A$15:$A$39,0),$C$15)/6+$C$11*INDEX(Trayectorias!$K$15:$M$39,MATCH($A24,Trayectorias!$A$15:$A$39,0),$C$15)/($C$6*1000))*(1+$C$12)*(1+$C$13)/(1-$C$14)</f>
        <v>147.64756143629</v>
      </c>
      <c r="H24" s="12">
        <f>($C$8*(1+MAX(0,1/7-Suministro_BESS!$A$13)*Suministro_BESS!$B$13)*$C$7*INDEX(Trayectorias!$B$15:$D$39,MATCH($A24,Trayectorias!$A$15:$A$39,0),$C$15)+$C$9*INDEX(Trayectorias!$K$15:$M$39,MATCH($A24,Trayectorias!$A$15:$A$39,0),$C$15)+$C$10*INDEX(Trayectorias!$K$15:$M$39,MATCH($A24,Trayectorias!$A$15:$A$39,0),$C$15)/7+$C$11*INDEX(Trayectorias!$K$15:$M$39,MATCH($A24,Trayectorias!$A$15:$A$39,0),$C$15)/($C$6*1000))*(1+$C$12)*(1+$C$13)/(1-$C$14)</f>
        <v>145.1539015811768</v>
      </c>
      <c r="I24" s="12">
        <f>($C$8*(1+MAX(0,1/8-Suministro_BESS!$A$13)*Suministro_BESS!$B$13)*$C$7*INDEX(Trayectorias!$B$15:$D$39,MATCH($A24,Trayectorias!$A$15:$A$39,0),$C$15)+$C$9*INDEX(Trayectorias!$K$15:$M$39,MATCH($A24,Trayectorias!$A$15:$A$39,0),$C$15)+$C$10*INDEX(Trayectorias!$K$15:$M$39,MATCH($A24,Trayectorias!$A$15:$A$39,0),$C$15)/8+$C$11*INDEX(Trayectorias!$K$15:$M$39,MATCH($A24,Trayectorias!$A$15:$A$39,0),$C$15)/($C$6*1000))*(1+$C$12)*(1+$C$13)/(1-$C$14)</f>
        <v>143.28365668984188</v>
      </c>
    </row>
    <row r="25" spans="1:9" x14ac:dyDescent="0.35">
      <c r="A25" s="32">
        <v>2032</v>
      </c>
      <c r="B25" s="12">
        <f>($C$8*(1+MAX(0,1/1-Suministro_BESS!$A$13)*Suministro_BESS!$B$13)*$C$7*INDEX(Trayectorias!$B$15:$D$39,MATCH($A25,Trayectorias!$A$15:$A$39,0),$C$15)+$C$9*INDEX(Trayectorias!$K$15:$M$39,MATCH($A25,Trayectorias!$A$15:$A$39,0),$C$15)+$C$10*INDEX(Trayectorias!$K$15:$M$39,MATCH($A25,Trayectorias!$A$15:$A$39,0),$C$15)/1+$C$11*INDEX(Trayectorias!$K$15:$M$39,MATCH($A25,Trayectorias!$A$15:$A$39,0),$C$15)/($C$6*1000))*(1+$C$12)*(1+$C$13)/(1-$C$14)</f>
        <v>240.7847665694766</v>
      </c>
      <c r="C25" s="12">
        <f>($C$8*(1+MAX(0,1/2-Suministro_BESS!$A$13)*Suministro_BESS!$B$13)*$C$7*INDEX(Trayectorias!$B$15:$D$39,MATCH($A25,Trayectorias!$A$15:$A$39,0),$C$15)+$C$9*INDEX(Trayectorias!$K$15:$M$39,MATCH($A25,Trayectorias!$A$15:$A$39,0),$C$15)+$C$10*INDEX(Trayectorias!$K$15:$M$39,MATCH($A25,Trayectorias!$A$15:$A$39,0),$C$15)/2+$C$11*INDEX(Trayectorias!$K$15:$M$39,MATCH($A25,Trayectorias!$A$15:$A$39,0),$C$15)/($C$6*1000))*(1+$C$12)*(1+$C$13)/(1-$C$14)</f>
        <v>177.94480684065059</v>
      </c>
      <c r="D25" s="12">
        <f>($C$8*(1+MAX(0,1/3-Suministro_BESS!$A$13)*Suministro_BESS!$B$13)*$C$7*INDEX(Trayectorias!$B$15:$D$39,MATCH($A25,Trayectorias!$A$15:$A$39,0),$C$15)+$C$9*INDEX(Trayectorias!$K$15:$M$39,MATCH($A25,Trayectorias!$A$15:$A$39,0),$C$15)+$C$10*INDEX(Trayectorias!$K$15:$M$39,MATCH($A25,Trayectorias!$A$15:$A$39,0),$C$15)/3+$C$11*INDEX(Trayectorias!$K$15:$M$39,MATCH($A25,Trayectorias!$A$15:$A$39,0),$C$15)/($C$6*1000))*(1+$C$12)*(1+$C$13)/(1-$C$14)</f>
        <v>160.83655467267542</v>
      </c>
      <c r="E25" s="12">
        <f>($C$8*(1+MAX(0,1/4-Suministro_BESS!$A$13)*Suministro_BESS!$B$13)*$C$7*INDEX(Trayectorias!$B$15:$D$39,MATCH($A25,Trayectorias!$A$15:$A$39,0),$C$15)+$C$9*INDEX(Trayectorias!$K$15:$M$39,MATCH($A25,Trayectorias!$A$15:$A$39,0),$C$15)+$C$10*INDEX(Trayectorias!$K$15:$M$39,MATCH($A25,Trayectorias!$A$15:$A$39,0),$C$15)/4+$C$11*INDEX(Trayectorias!$K$15:$M$39,MATCH($A25,Trayectorias!$A$15:$A$39,0),$C$15)/($C$6*1000))*(1+$C$12)*(1+$C$13)/(1-$C$14)</f>
        <v>152.28242858868785</v>
      </c>
      <c r="F25" s="12">
        <f>($C$8*(1+MAX(0,1/5-Suministro_BESS!$A$13)*Suministro_BESS!$B$13)*$C$7*INDEX(Trayectorias!$B$15:$D$39,MATCH($A25,Trayectorias!$A$15:$A$39,0),$C$15)+$C$9*INDEX(Trayectorias!$K$15:$M$39,MATCH($A25,Trayectorias!$A$15:$A$39,0),$C$15)+$C$10*INDEX(Trayectorias!$K$15:$M$39,MATCH($A25,Trayectorias!$A$15:$A$39,0),$C$15)/5+$C$11*INDEX(Trayectorias!$K$15:$M$39,MATCH($A25,Trayectorias!$A$15:$A$39,0),$C$15)/($C$6*1000))*(1+$C$12)*(1+$C$13)/(1-$C$14)</f>
        <v>147.14995293829531</v>
      </c>
      <c r="G25" s="12">
        <f>($C$8*(1+MAX(0,1/6-Suministro_BESS!$A$13)*Suministro_BESS!$B$13)*$C$7*INDEX(Trayectorias!$B$15:$D$39,MATCH($A25,Trayectorias!$A$15:$A$39,0),$C$15)+$C$9*INDEX(Trayectorias!$K$15:$M$39,MATCH($A25,Trayectorias!$A$15:$A$39,0),$C$15)+$C$10*INDEX(Trayectorias!$K$15:$M$39,MATCH($A25,Trayectorias!$A$15:$A$39,0),$C$15)/6+$C$11*INDEX(Trayectorias!$K$15:$M$39,MATCH($A25,Trayectorias!$A$15:$A$39,0),$C$15)/($C$6*1000))*(1+$C$12)*(1+$C$13)/(1-$C$14)</f>
        <v>143.72830250470028</v>
      </c>
      <c r="H25" s="12">
        <f>($C$8*(1+MAX(0,1/7-Suministro_BESS!$A$13)*Suministro_BESS!$B$13)*$C$7*INDEX(Trayectorias!$B$15:$D$39,MATCH($A25,Trayectorias!$A$15:$A$39,0),$C$15)+$C$9*INDEX(Trayectorias!$K$15:$M$39,MATCH($A25,Trayectorias!$A$15:$A$39,0),$C$15)+$C$10*INDEX(Trayectorias!$K$15:$M$39,MATCH($A25,Trayectorias!$A$15:$A$39,0),$C$15)/7+$C$11*INDEX(Trayectorias!$K$15:$M$39,MATCH($A25,Trayectorias!$A$15:$A$39,0),$C$15)/($C$6*1000))*(1+$C$12)*(1+$C$13)/(1-$C$14)</f>
        <v>141.28426648070385</v>
      </c>
      <c r="I25" s="12">
        <f>($C$8*(1+MAX(0,1/8-Suministro_BESS!$A$13)*Suministro_BESS!$B$13)*$C$7*INDEX(Trayectorias!$B$15:$D$39,MATCH($A25,Trayectorias!$A$15:$A$39,0),$C$15)+$C$9*INDEX(Trayectorias!$K$15:$M$39,MATCH($A25,Trayectorias!$A$15:$A$39,0),$C$15)+$C$10*INDEX(Trayectorias!$K$15:$M$39,MATCH($A25,Trayectorias!$A$15:$A$39,0),$C$15)/8+$C$11*INDEX(Trayectorias!$K$15:$M$39,MATCH($A25,Trayectorias!$A$15:$A$39,0),$C$15)/($C$6*1000))*(1+$C$12)*(1+$C$13)/(1-$C$14)</f>
        <v>139.4512394627065</v>
      </c>
    </row>
    <row r="26" spans="1:9" x14ac:dyDescent="0.35">
      <c r="A26" s="32">
        <v>2033</v>
      </c>
      <c r="B26" s="12">
        <f>($C$8*(1+MAX(0,1/1-Suministro_BESS!$A$13)*Suministro_BESS!$B$13)*$C$7*INDEX(Trayectorias!$B$15:$D$39,MATCH($A26,Trayectorias!$A$15:$A$39,0),$C$15)+$C$9*INDEX(Trayectorias!$K$15:$M$39,MATCH($A26,Trayectorias!$A$15:$A$39,0),$C$15)+$C$10*INDEX(Trayectorias!$K$15:$M$39,MATCH($A26,Trayectorias!$A$15:$A$39,0),$C$15)/1+$C$11*INDEX(Trayectorias!$K$15:$M$39,MATCH($A26,Trayectorias!$A$15:$A$39,0),$C$15)/($C$6*1000))*(1+$C$12)*(1+$C$13)/(1-$C$14)</f>
        <v>234.9357400077011</v>
      </c>
      <c r="C26" s="12">
        <f>($C$8*(1+MAX(0,1/2-Suministro_BESS!$A$13)*Suministro_BESS!$B$13)*$C$7*INDEX(Trayectorias!$B$15:$D$39,MATCH($A26,Trayectorias!$A$15:$A$39,0),$C$15)+$C$9*INDEX(Trayectorias!$K$15:$M$39,MATCH($A26,Trayectorias!$A$15:$A$39,0),$C$15)+$C$10*INDEX(Trayectorias!$K$15:$M$39,MATCH($A26,Trayectorias!$A$15:$A$39,0),$C$15)/2+$C$11*INDEX(Trayectorias!$K$15:$M$39,MATCH($A26,Trayectorias!$A$15:$A$39,0),$C$15)/($C$6*1000))*(1+$C$12)*(1+$C$13)/(1-$C$14)</f>
        <v>173.45108382682534</v>
      </c>
      <c r="D26" s="12">
        <f>($C$8*(1+MAX(0,1/3-Suministro_BESS!$A$13)*Suministro_BESS!$B$13)*$C$7*INDEX(Trayectorias!$B$15:$D$39,MATCH($A26,Trayectorias!$A$15:$A$39,0),$C$15)+$C$9*INDEX(Trayectorias!$K$15:$M$39,MATCH($A26,Trayectorias!$A$15:$A$39,0),$C$15)+$C$10*INDEX(Trayectorias!$K$15:$M$39,MATCH($A26,Trayectorias!$A$15:$A$39,0),$C$15)/3+$C$11*INDEX(Trayectorias!$K$15:$M$39,MATCH($A26,Trayectorias!$A$15:$A$39,0),$C$15)/($C$6*1000))*(1+$C$12)*(1+$C$13)/(1-$C$14)</f>
        <v>156.68328587699287</v>
      </c>
      <c r="E26" s="12">
        <f>($C$8*(1+MAX(0,1/4-Suministro_BESS!$A$13)*Suministro_BESS!$B$13)*$C$7*INDEX(Trayectorias!$B$15:$D$39,MATCH($A26,Trayectorias!$A$15:$A$39,0),$C$15)+$C$9*INDEX(Trayectorias!$K$15:$M$39,MATCH($A26,Trayectorias!$A$15:$A$39,0),$C$15)+$C$10*INDEX(Trayectorias!$K$15:$M$39,MATCH($A26,Trayectorias!$A$15:$A$39,0),$C$15)/4+$C$11*INDEX(Trayectorias!$K$15:$M$39,MATCH($A26,Trayectorias!$A$15:$A$39,0),$C$15)/($C$6*1000))*(1+$C$12)*(1+$C$13)/(1-$C$14)</f>
        <v>148.29938690207666</v>
      </c>
      <c r="F26" s="12">
        <f>($C$8*(1+MAX(0,1/5-Suministro_BESS!$A$13)*Suministro_BESS!$B$13)*$C$7*INDEX(Trayectorias!$B$15:$D$39,MATCH($A26,Trayectorias!$A$15:$A$39,0),$C$15)+$C$9*INDEX(Trayectorias!$K$15:$M$39,MATCH($A26,Trayectorias!$A$15:$A$39,0),$C$15)+$C$10*INDEX(Trayectorias!$K$15:$M$39,MATCH($A26,Trayectorias!$A$15:$A$39,0),$C$15)/5+$C$11*INDEX(Trayectorias!$K$15:$M$39,MATCH($A26,Trayectorias!$A$15:$A$39,0),$C$15)/($C$6*1000))*(1+$C$12)*(1+$C$13)/(1-$C$14)</f>
        <v>143.26904751712692</v>
      </c>
      <c r="G26" s="12">
        <f>($C$8*(1+MAX(0,1/6-Suministro_BESS!$A$13)*Suministro_BESS!$B$13)*$C$7*INDEX(Trayectorias!$B$15:$D$39,MATCH($A26,Trayectorias!$A$15:$A$39,0),$C$15)+$C$9*INDEX(Trayectorias!$K$15:$M$39,MATCH($A26,Trayectorias!$A$15:$A$39,0),$C$15)+$C$10*INDEX(Trayectorias!$K$15:$M$39,MATCH($A26,Trayectorias!$A$15:$A$39,0),$C$15)/6+$C$11*INDEX(Trayectorias!$K$15:$M$39,MATCH($A26,Trayectorias!$A$15:$A$39,0),$C$15)/($C$6*1000))*(1+$C$12)*(1+$C$13)/(1-$C$14)</f>
        <v>139.91548792716046</v>
      </c>
      <c r="H26" s="12">
        <f>($C$8*(1+MAX(0,1/7-Suministro_BESS!$A$13)*Suministro_BESS!$B$13)*$C$7*INDEX(Trayectorias!$B$15:$D$39,MATCH($A26,Trayectorias!$A$15:$A$39,0),$C$15)+$C$9*INDEX(Trayectorias!$K$15:$M$39,MATCH($A26,Trayectorias!$A$15:$A$39,0),$C$15)+$C$10*INDEX(Trayectorias!$K$15:$M$39,MATCH($A26,Trayectorias!$A$15:$A$39,0),$C$15)/7+$C$11*INDEX(Trayectorias!$K$15:$M$39,MATCH($A26,Trayectorias!$A$15:$A$39,0),$C$15)/($C$6*1000))*(1+$C$12)*(1+$C$13)/(1-$C$14)</f>
        <v>137.52008822004152</v>
      </c>
      <c r="I26" s="12">
        <f>($C$8*(1+MAX(0,1/8-Suministro_BESS!$A$13)*Suministro_BESS!$B$13)*$C$7*INDEX(Trayectorias!$B$15:$D$39,MATCH($A26,Trayectorias!$A$15:$A$39,0),$C$15)+$C$9*INDEX(Trayectorias!$K$15:$M$39,MATCH($A26,Trayectorias!$A$15:$A$39,0),$C$15)+$C$10*INDEX(Trayectorias!$K$15:$M$39,MATCH($A26,Trayectorias!$A$15:$A$39,0),$C$15)/8+$C$11*INDEX(Trayectorias!$K$15:$M$39,MATCH($A26,Trayectorias!$A$15:$A$39,0),$C$15)/($C$6*1000))*(1+$C$12)*(1+$C$13)/(1-$C$14)</f>
        <v>135.72353843970234</v>
      </c>
    </row>
    <row r="27" spans="1:9" x14ac:dyDescent="0.35">
      <c r="A27" s="32">
        <v>2034</v>
      </c>
      <c r="B27" s="12">
        <f>($C$8*(1+MAX(0,1/1-Suministro_BESS!$A$13)*Suministro_BESS!$B$13)*$C$7*INDEX(Trayectorias!$B$15:$D$39,MATCH($A27,Trayectorias!$A$15:$A$39,0),$C$15)+$C$9*INDEX(Trayectorias!$K$15:$M$39,MATCH($A27,Trayectorias!$A$15:$A$39,0),$C$15)+$C$10*INDEX(Trayectorias!$K$15:$M$39,MATCH($A27,Trayectorias!$A$15:$A$39,0),$C$15)/1+$C$11*INDEX(Trayectorias!$K$15:$M$39,MATCH($A27,Trayectorias!$A$15:$A$39,0),$C$15)/($C$6*1000))*(1+$C$12)*(1+$C$13)/(1-$C$14)</f>
        <v>229.23377395600912</v>
      </c>
      <c r="C27" s="12">
        <f>($C$8*(1+MAX(0,1/2-Suministro_BESS!$A$13)*Suministro_BESS!$B$13)*$C$7*INDEX(Trayectorias!$B$15:$D$39,MATCH($A27,Trayectorias!$A$15:$A$39,0),$C$15)+$C$9*INDEX(Trayectorias!$K$15:$M$39,MATCH($A27,Trayectorias!$A$15:$A$39,0),$C$15)+$C$10*INDEX(Trayectorias!$K$15:$M$39,MATCH($A27,Trayectorias!$A$15:$A$39,0),$C$15)/2+$C$11*INDEX(Trayectorias!$K$15:$M$39,MATCH($A27,Trayectorias!$A$15:$A$39,0),$C$15)/($C$6*1000))*(1+$C$12)*(1+$C$13)/(1-$C$14)</f>
        <v>169.07441192034833</v>
      </c>
      <c r="D27" s="12">
        <f>($C$8*(1+MAX(0,1/3-Suministro_BESS!$A$13)*Suministro_BESS!$B$13)*$C$7*INDEX(Trayectorias!$B$15:$D$39,MATCH($A27,Trayectorias!$A$15:$A$39,0),$C$15)+$C$9*INDEX(Trayectorias!$K$15:$M$39,MATCH($A27,Trayectorias!$A$15:$A$39,0),$C$15)+$C$10*INDEX(Trayectorias!$K$15:$M$39,MATCH($A27,Trayectorias!$A$15:$A$39,0),$C$15)/3+$C$11*INDEX(Trayectorias!$K$15:$M$39,MATCH($A27,Trayectorias!$A$15:$A$39,0),$C$15)/($C$6*1000))*(1+$C$12)*(1+$C$13)/(1-$C$14)</f>
        <v>152.64029314971759</v>
      </c>
      <c r="E27" s="12">
        <f>($C$8*(1+MAX(0,1/4-Suministro_BESS!$A$13)*Suministro_BESS!$B$13)*$C$7*INDEX(Trayectorias!$B$15:$D$39,MATCH($A27,Trayectorias!$A$15:$A$39,0),$C$15)+$C$9*INDEX(Trayectorias!$K$15:$M$39,MATCH($A27,Trayectorias!$A$15:$A$39,0),$C$15)+$C$10*INDEX(Trayectorias!$K$15:$M$39,MATCH($A27,Trayectorias!$A$15:$A$39,0),$C$15)/4+$C$11*INDEX(Trayectorias!$K$15:$M$39,MATCH($A27,Trayectorias!$A$15:$A$39,0),$C$15)/($C$6*1000))*(1+$C$12)*(1+$C$13)/(1-$C$14)</f>
        <v>144.4232337644022</v>
      </c>
      <c r="F27" s="12">
        <f>($C$8*(1+MAX(0,1/5-Suministro_BESS!$A$13)*Suministro_BESS!$B$13)*$C$7*INDEX(Trayectorias!$B$15:$D$39,MATCH($A27,Trayectorias!$A$15:$A$39,0),$C$15)+$C$9*INDEX(Trayectorias!$K$15:$M$39,MATCH($A27,Trayectorias!$A$15:$A$39,0),$C$15)+$C$10*INDEX(Trayectorias!$K$15:$M$39,MATCH($A27,Trayectorias!$A$15:$A$39,0),$C$15)/5+$C$11*INDEX(Trayectorias!$K$15:$M$39,MATCH($A27,Trayectorias!$A$15:$A$39,0),$C$15)/($C$6*1000))*(1+$C$12)*(1+$C$13)/(1-$C$14)</f>
        <v>139.49299813321298</v>
      </c>
      <c r="G27" s="12">
        <f>($C$8*(1+MAX(0,1/6-Suministro_BESS!$A$13)*Suministro_BESS!$B$13)*$C$7*INDEX(Trayectorias!$B$15:$D$39,MATCH($A27,Trayectorias!$A$15:$A$39,0),$C$15)+$C$9*INDEX(Trayectorias!$K$15:$M$39,MATCH($A27,Trayectorias!$A$15:$A$39,0),$C$15)+$C$10*INDEX(Trayectorias!$K$15:$M$39,MATCH($A27,Trayectorias!$A$15:$A$39,0),$C$15)/6+$C$11*INDEX(Trayectorias!$K$15:$M$39,MATCH($A27,Trayectorias!$A$15:$A$39,0),$C$15)/($C$6*1000))*(1+$C$12)*(1+$C$13)/(1-$C$14)</f>
        <v>136.20617437908683</v>
      </c>
      <c r="H27" s="12">
        <f>($C$8*(1+MAX(0,1/7-Suministro_BESS!$A$13)*Suministro_BESS!$B$13)*$C$7*INDEX(Trayectorias!$B$15:$D$39,MATCH($A27,Trayectorias!$A$15:$A$39,0),$C$15)+$C$9*INDEX(Trayectorias!$K$15:$M$39,MATCH($A27,Trayectorias!$A$15:$A$39,0),$C$15)+$C$10*INDEX(Trayectorias!$K$15:$M$39,MATCH($A27,Trayectorias!$A$15:$A$39,0),$C$15)/7+$C$11*INDEX(Trayectorias!$K$15:$M$39,MATCH($A27,Trayectorias!$A$15:$A$39,0),$C$15)/($C$6*1000))*(1+$C$12)*(1+$C$13)/(1-$C$14)</f>
        <v>133.85844312613955</v>
      </c>
      <c r="I27" s="12">
        <f>($C$8*(1+MAX(0,1/8-Suministro_BESS!$A$13)*Suministro_BESS!$B$13)*$C$7*INDEX(Trayectorias!$B$15:$D$39,MATCH($A27,Trayectorias!$A$15:$A$39,0),$C$15)+$C$9*INDEX(Trayectorias!$K$15:$M$39,MATCH($A27,Trayectorias!$A$15:$A$39,0),$C$15)+$C$10*INDEX(Trayectorias!$K$15:$M$39,MATCH($A27,Trayectorias!$A$15:$A$39,0),$C$15)/8+$C$11*INDEX(Trayectorias!$K$15:$M$39,MATCH($A27,Trayectorias!$A$15:$A$39,0),$C$15)/($C$6*1000))*(1+$C$12)*(1+$C$13)/(1-$C$14)</f>
        <v>132.09764468642911</v>
      </c>
    </row>
    <row r="28" spans="1:9" x14ac:dyDescent="0.35">
      <c r="A28" s="32">
        <v>2035</v>
      </c>
      <c r="B28" s="12">
        <f>($C$8*(1+MAX(0,1/1-Suministro_BESS!$A$13)*Suministro_BESS!$B$13)*$C$7*INDEX(Trayectorias!$B$15:$D$39,MATCH($A28,Trayectorias!$A$15:$A$39,0),$C$15)+$C$9*INDEX(Trayectorias!$K$15:$M$39,MATCH($A28,Trayectorias!$A$15:$A$39,0),$C$15)+$C$10*INDEX(Trayectorias!$K$15:$M$39,MATCH($A28,Trayectorias!$A$15:$A$39,0),$C$15)/1+$C$11*INDEX(Trayectorias!$K$15:$M$39,MATCH($A28,Trayectorias!$A$15:$A$39,0),$C$15)/($C$6*1000))*(1+$C$12)*(1+$C$13)/(1-$C$14)</f>
        <v>223.67505262868653</v>
      </c>
      <c r="C28" s="12">
        <f>($C$8*(1+MAX(0,1/2-Suministro_BESS!$A$13)*Suministro_BESS!$B$13)*$C$7*INDEX(Trayectorias!$B$15:$D$39,MATCH($A28,Trayectorias!$A$15:$A$39,0),$C$15)+$C$9*INDEX(Trayectorias!$K$15:$M$39,MATCH($A28,Trayectorias!$A$15:$A$39,0),$C$15)+$C$10*INDEX(Trayectorias!$K$15:$M$39,MATCH($A28,Trayectorias!$A$15:$A$39,0),$C$15)/2+$C$11*INDEX(Trayectorias!$K$15:$M$39,MATCH($A28,Trayectorias!$A$15:$A$39,0),$C$15)/($C$6*1000))*(1+$C$12)*(1+$C$13)/(1-$C$14)</f>
        <v>164.8116606496217</v>
      </c>
      <c r="D28" s="12">
        <f>($C$8*(1+MAX(0,1/3-Suministro_BESS!$A$13)*Suministro_BESS!$B$13)*$C$7*INDEX(Trayectorias!$B$15:$D$39,MATCH($A28,Trayectorias!$A$15:$A$39,0),$C$15)+$C$9*INDEX(Trayectorias!$K$15:$M$39,MATCH($A28,Trayectorias!$A$15:$A$39,0),$C$15)+$C$10*INDEX(Trayectorias!$K$15:$M$39,MATCH($A28,Trayectorias!$A$15:$A$39,0),$C$15)/3+$C$11*INDEX(Trayectorias!$K$15:$M$39,MATCH($A28,Trayectorias!$A$15:$A$39,0),$C$15)/($C$6*1000))*(1+$C$12)*(1+$C$13)/(1-$C$14)</f>
        <v>148.70458084252647</v>
      </c>
      <c r="E28" s="12">
        <f>($C$8*(1+MAX(0,1/4-Suministro_BESS!$A$13)*Suministro_BESS!$B$13)*$C$7*INDEX(Trayectorias!$B$15:$D$39,MATCH($A28,Trayectorias!$A$15:$A$39,0),$C$15)+$C$9*INDEX(Trayectorias!$K$15:$M$39,MATCH($A28,Trayectorias!$A$15:$A$39,0),$C$15)+$C$10*INDEX(Trayectorias!$K$15:$M$39,MATCH($A28,Trayectorias!$A$15:$A$39,0),$C$15)/4+$C$11*INDEX(Trayectorias!$K$15:$M$39,MATCH($A28,Trayectorias!$A$15:$A$39,0),$C$15)/($C$6*1000))*(1+$C$12)*(1+$C$13)/(1-$C$14)</f>
        <v>140.65104093897887</v>
      </c>
      <c r="F28" s="12">
        <f>($C$8*(1+MAX(0,1/5-Suministro_BESS!$A$13)*Suministro_BESS!$B$13)*$C$7*INDEX(Trayectorias!$B$15:$D$39,MATCH($A28,Trayectorias!$A$15:$A$39,0),$C$15)+$C$9*INDEX(Trayectorias!$K$15:$M$39,MATCH($A28,Trayectorias!$A$15:$A$39,0),$C$15)+$C$10*INDEX(Trayectorias!$K$15:$M$39,MATCH($A28,Trayectorias!$A$15:$A$39,0),$C$15)/5+$C$11*INDEX(Trayectorias!$K$15:$M$39,MATCH($A28,Trayectorias!$A$15:$A$39,0),$C$15)/($C$6*1000))*(1+$C$12)*(1+$C$13)/(1-$C$14)</f>
        <v>135.81891699685028</v>
      </c>
      <c r="G28" s="12">
        <f>($C$8*(1+MAX(0,1/6-Suministro_BESS!$A$13)*Suministro_BESS!$B$13)*$C$7*INDEX(Trayectorias!$B$15:$D$39,MATCH($A28,Trayectorias!$A$15:$A$39,0),$C$15)+$C$9*INDEX(Trayectorias!$K$15:$M$39,MATCH($A28,Trayectorias!$A$15:$A$39,0),$C$15)+$C$10*INDEX(Trayectorias!$K$15:$M$39,MATCH($A28,Trayectorias!$A$15:$A$39,0),$C$15)/6+$C$11*INDEX(Trayectorias!$K$15:$M$39,MATCH($A28,Trayectorias!$A$15:$A$39,0),$C$15)/($C$6*1000))*(1+$C$12)*(1+$C$13)/(1-$C$14)</f>
        <v>132.59750103543124</v>
      </c>
      <c r="H28" s="12">
        <f>($C$8*(1+MAX(0,1/7-Suministro_BESS!$A$13)*Suministro_BESS!$B$13)*$C$7*INDEX(Trayectorias!$B$15:$D$39,MATCH($A28,Trayectorias!$A$15:$A$39,0),$C$15)+$C$9*INDEX(Trayectorias!$K$15:$M$39,MATCH($A28,Trayectorias!$A$15:$A$39,0),$C$15)+$C$10*INDEX(Trayectorias!$K$15:$M$39,MATCH($A28,Trayectorias!$A$15:$A$39,0),$C$15)/7+$C$11*INDEX(Trayectorias!$K$15:$M$39,MATCH($A28,Trayectorias!$A$15:$A$39,0),$C$15)/($C$6*1000))*(1+$C$12)*(1+$C$13)/(1-$C$14)</f>
        <v>130.29648963441764</v>
      </c>
      <c r="I28" s="12">
        <f>($C$8*(1+MAX(0,1/8-Suministro_BESS!$A$13)*Suministro_BESS!$B$13)*$C$7*INDEX(Trayectorias!$B$15:$D$39,MATCH($A28,Trayectorias!$A$15:$A$39,0),$C$15)+$C$9*INDEX(Trayectorias!$K$15:$M$39,MATCH($A28,Trayectorias!$A$15:$A$39,0),$C$15)+$C$10*INDEX(Trayectorias!$K$15:$M$39,MATCH($A28,Trayectorias!$A$15:$A$39,0),$C$15)/8+$C$11*INDEX(Trayectorias!$K$15:$M$39,MATCH($A28,Trayectorias!$A$15:$A$39,0),$C$15)/($C$6*1000))*(1+$C$12)*(1+$C$13)/(1-$C$14)</f>
        <v>128.57073108365745</v>
      </c>
    </row>
    <row r="29" spans="1:9" x14ac:dyDescent="0.35">
      <c r="A29" s="32">
        <v>2036</v>
      </c>
      <c r="B29" s="12">
        <f>($C$8*(1+MAX(0,1/1-Suministro_BESS!$A$13)*Suministro_BESS!$B$13)*$C$7*INDEX(Trayectorias!$B$15:$D$39,MATCH($A29,Trayectorias!$A$15:$A$39,0),$C$15)+$C$9*INDEX(Trayectorias!$K$15:$M$39,MATCH($A29,Trayectorias!$A$15:$A$39,0),$C$15)+$C$10*INDEX(Trayectorias!$K$15:$M$39,MATCH($A29,Trayectorias!$A$15:$A$39,0),$C$15)/1+$C$11*INDEX(Trayectorias!$K$15:$M$39,MATCH($A29,Trayectorias!$A$15:$A$39,0),$C$15)/($C$6*1000))*(1+$C$12)*(1+$C$13)/(1-$C$14)</f>
        <v>220.60827910216852</v>
      </c>
      <c r="C29" s="12">
        <f>($C$8*(1+MAX(0,1/2-Suministro_BESS!$A$13)*Suministro_BESS!$B$13)*$C$7*INDEX(Trayectorias!$B$15:$D$39,MATCH($A29,Trayectorias!$A$15:$A$39,0),$C$15)+$C$9*INDEX(Trayectorias!$K$15:$M$39,MATCH($A29,Trayectorias!$A$15:$A$39,0),$C$15)+$C$10*INDEX(Trayectorias!$K$15:$M$39,MATCH($A29,Trayectorias!$A$15:$A$39,0),$C$15)/2+$C$11*INDEX(Trayectorias!$K$15:$M$39,MATCH($A29,Trayectorias!$A$15:$A$39,0),$C$15)/($C$6*1000))*(1+$C$12)*(1+$C$13)/(1-$C$14)</f>
        <v>162.30935312670817</v>
      </c>
      <c r="D29" s="12">
        <f>($C$8*(1+MAX(0,1/3-Suministro_BESS!$A$13)*Suministro_BESS!$B$13)*$C$7*INDEX(Trayectorias!$B$15:$D$39,MATCH($A29,Trayectorias!$A$15:$A$39,0),$C$15)+$C$9*INDEX(Trayectorias!$K$15:$M$39,MATCH($A29,Trayectorias!$A$15:$A$39,0),$C$15)+$C$10*INDEX(Trayectorias!$K$15:$M$39,MATCH($A29,Trayectorias!$A$15:$A$39,0),$C$15)/3+$C$11*INDEX(Trayectorias!$K$15:$M$39,MATCH($A29,Trayectorias!$A$15:$A$39,0),$C$15)/($C$6*1000))*(1+$C$12)*(1+$C$13)/(1-$C$14)</f>
        <v>146.31663358624337</v>
      </c>
      <c r="E29" s="12">
        <f>($C$8*(1+MAX(0,1/4-Suministro_BESS!$A$13)*Suministro_BESS!$B$13)*$C$7*INDEX(Trayectorias!$B$15:$D$39,MATCH($A29,Trayectorias!$A$15:$A$39,0),$C$15)+$C$9*INDEX(Trayectorias!$K$15:$M$39,MATCH($A29,Trayectorias!$A$15:$A$39,0),$C$15)+$C$10*INDEX(Trayectorias!$K$15:$M$39,MATCH($A29,Trayectorias!$A$15:$A$39,0),$C$15)/4+$C$11*INDEX(Trayectorias!$K$15:$M$39,MATCH($A29,Trayectorias!$A$15:$A$39,0),$C$15)/($C$6*1000))*(1+$C$12)*(1+$C$13)/(1-$C$14)</f>
        <v>138.32027381601094</v>
      </c>
      <c r="F29" s="12">
        <f>($C$8*(1+MAX(0,1/5-Suministro_BESS!$A$13)*Suministro_BESS!$B$13)*$C$7*INDEX(Trayectorias!$B$15:$D$39,MATCH($A29,Trayectorias!$A$15:$A$39,0),$C$15)+$C$9*INDEX(Trayectorias!$K$15:$M$39,MATCH($A29,Trayectorias!$A$15:$A$39,0),$C$15)+$C$10*INDEX(Trayectorias!$K$15:$M$39,MATCH($A29,Trayectorias!$A$15:$A$39,0),$C$15)/5+$C$11*INDEX(Trayectorias!$K$15:$M$39,MATCH($A29,Trayectorias!$A$15:$A$39,0),$C$15)/($C$6*1000))*(1+$C$12)*(1+$C$13)/(1-$C$14)</f>
        <v>133.52245795387148</v>
      </c>
      <c r="G29" s="12">
        <f>($C$8*(1+MAX(0,1/6-Suministro_BESS!$A$13)*Suministro_BESS!$B$13)*$C$7*INDEX(Trayectorias!$B$15:$D$39,MATCH($A29,Trayectorias!$A$15:$A$39,0),$C$15)+$C$9*INDEX(Trayectorias!$K$15:$M$39,MATCH($A29,Trayectorias!$A$15:$A$39,0),$C$15)+$C$10*INDEX(Trayectorias!$K$15:$M$39,MATCH($A29,Trayectorias!$A$15:$A$39,0),$C$15)/6+$C$11*INDEX(Trayectorias!$K$15:$M$39,MATCH($A29,Trayectorias!$A$15:$A$39,0),$C$15)/($C$6*1000))*(1+$C$12)*(1+$C$13)/(1-$C$14)</f>
        <v>130.32391404577851</v>
      </c>
      <c r="H29" s="12">
        <f>($C$8*(1+MAX(0,1/7-Suministro_BESS!$A$13)*Suministro_BESS!$B$13)*$C$7*INDEX(Trayectorias!$B$15:$D$39,MATCH($A29,Trayectorias!$A$15:$A$39,0),$C$15)+$C$9*INDEX(Trayectorias!$K$15:$M$39,MATCH($A29,Trayectorias!$A$15:$A$39,0),$C$15)+$C$10*INDEX(Trayectorias!$K$15:$M$39,MATCH($A29,Trayectorias!$A$15:$A$39,0),$C$15)/7+$C$11*INDEX(Trayectorias!$K$15:$M$39,MATCH($A29,Trayectorias!$A$15:$A$39,0),$C$15)/($C$6*1000))*(1+$C$12)*(1+$C$13)/(1-$C$14)</f>
        <v>128.03923982571212</v>
      </c>
      <c r="I29" s="12">
        <f>($C$8*(1+MAX(0,1/8-Suministro_BESS!$A$13)*Suministro_BESS!$B$13)*$C$7*INDEX(Trayectorias!$B$15:$D$39,MATCH($A29,Trayectorias!$A$15:$A$39,0),$C$15)+$C$9*INDEX(Trayectorias!$K$15:$M$39,MATCH($A29,Trayectorias!$A$15:$A$39,0),$C$15)+$C$10*INDEX(Trayectorias!$K$15:$M$39,MATCH($A29,Trayectorias!$A$15:$A$39,0),$C$15)/8+$C$11*INDEX(Trayectorias!$K$15:$M$39,MATCH($A29,Trayectorias!$A$15:$A$39,0),$C$15)/($C$6*1000))*(1+$C$12)*(1+$C$13)/(1-$C$14)</f>
        <v>126.32573416066229</v>
      </c>
    </row>
    <row r="30" spans="1:9" x14ac:dyDescent="0.35">
      <c r="A30" s="32">
        <v>2037</v>
      </c>
      <c r="B30" s="12">
        <f>($C$8*(1+MAX(0,1/1-Suministro_BESS!$A$13)*Suministro_BESS!$B$13)*$C$7*INDEX(Trayectorias!$B$15:$D$39,MATCH($A30,Trayectorias!$A$15:$A$39,0),$C$15)+$C$9*INDEX(Trayectorias!$K$15:$M$39,MATCH($A30,Trayectorias!$A$15:$A$39,0),$C$15)+$C$10*INDEX(Trayectorias!$K$15:$M$39,MATCH($A30,Trayectorias!$A$15:$A$39,0),$C$15)/1+$C$11*INDEX(Trayectorias!$K$15:$M$39,MATCH($A30,Trayectorias!$A$15:$A$39,0),$C$15)/($C$6*1000))*(1+$C$12)*(1+$C$13)/(1-$C$14)</f>
        <v>217.59433196139875</v>
      </c>
      <c r="C30" s="12">
        <f>($C$8*(1+MAX(0,1/2-Suministro_BESS!$A$13)*Suministro_BESS!$B$13)*$C$7*INDEX(Trayectorias!$B$15:$D$39,MATCH($A30,Trayectorias!$A$15:$A$39,0),$C$15)+$C$9*INDEX(Trayectorias!$K$15:$M$39,MATCH($A30,Trayectorias!$A$15:$A$39,0),$C$15)+$C$10*INDEX(Trayectorias!$K$15:$M$39,MATCH($A30,Trayectorias!$A$15:$A$39,0),$C$15)/2+$C$11*INDEX(Trayectorias!$K$15:$M$39,MATCH($A30,Trayectorias!$A$15:$A$39,0),$C$15)/($C$6*1000))*(1+$C$12)*(1+$C$13)/(1-$C$14)</f>
        <v>159.8527870265857</v>
      </c>
      <c r="D30" s="12">
        <f>($C$8*(1+MAX(0,1/3-Suministro_BESS!$A$13)*Suministro_BESS!$B$13)*$C$7*INDEX(Trayectorias!$B$15:$D$39,MATCH($A30,Trayectorias!$A$15:$A$39,0),$C$15)+$C$9*INDEX(Trayectorias!$K$15:$M$39,MATCH($A30,Trayectorias!$A$15:$A$39,0),$C$15)+$C$10*INDEX(Trayectorias!$K$15:$M$39,MATCH($A30,Trayectorias!$A$15:$A$39,0),$C$15)/3+$C$11*INDEX(Trayectorias!$K$15:$M$39,MATCH($A30,Trayectorias!$A$15:$A$39,0),$C$15)/($C$6*1000))*(1+$C$12)*(1+$C$13)/(1-$C$14)</f>
        <v>143.97361579485812</v>
      </c>
      <c r="E30" s="12">
        <f>($C$8*(1+MAX(0,1/4-Suministro_BESS!$A$13)*Suministro_BESS!$B$13)*$C$7*INDEX(Trayectorias!$B$15:$D$39,MATCH($A30,Trayectorias!$A$15:$A$39,0),$C$15)+$C$9*INDEX(Trayectorias!$K$15:$M$39,MATCH($A30,Trayectorias!$A$15:$A$39,0),$C$15)+$C$10*INDEX(Trayectorias!$K$15:$M$39,MATCH($A30,Trayectorias!$A$15:$A$39,0),$C$15)/4+$C$11*INDEX(Trayectorias!$K$15:$M$39,MATCH($A30,Trayectorias!$A$15:$A$39,0),$C$15)/($C$6*1000))*(1+$C$12)*(1+$C$13)/(1-$C$14)</f>
        <v>136.03403017899436</v>
      </c>
      <c r="F30" s="12">
        <f>($C$8*(1+MAX(0,1/5-Suministro_BESS!$A$13)*Suministro_BESS!$B$13)*$C$7*INDEX(Trayectorias!$B$15:$D$39,MATCH($A30,Trayectorias!$A$15:$A$39,0),$C$15)+$C$9*INDEX(Trayectorias!$K$15:$M$39,MATCH($A30,Trayectorias!$A$15:$A$39,0),$C$15)+$C$10*INDEX(Trayectorias!$K$15:$M$39,MATCH($A30,Trayectorias!$A$15:$A$39,0),$C$15)/5+$C$11*INDEX(Trayectorias!$K$15:$M$39,MATCH($A30,Trayectorias!$A$15:$A$39,0),$C$15)/($C$6*1000))*(1+$C$12)*(1+$C$13)/(1-$C$14)</f>
        <v>131.27027880947611</v>
      </c>
      <c r="G30" s="12">
        <f>($C$8*(1+MAX(0,1/6-Suministro_BESS!$A$13)*Suministro_BESS!$B$13)*$C$7*INDEX(Trayectorias!$B$15:$D$39,MATCH($A30,Trayectorias!$A$15:$A$39,0),$C$15)+$C$9*INDEX(Trayectorias!$K$15:$M$39,MATCH($A30,Trayectorias!$A$15:$A$39,0),$C$15)+$C$10*INDEX(Trayectorias!$K$15:$M$39,MATCH($A30,Trayectorias!$A$15:$A$39,0),$C$15)/6+$C$11*INDEX(Trayectorias!$K$15:$M$39,MATCH($A30,Trayectorias!$A$15:$A$39,0),$C$15)/($C$6*1000))*(1+$C$12)*(1+$C$13)/(1-$C$14)</f>
        <v>128.09444456313059</v>
      </c>
      <c r="H30" s="12">
        <f>($C$8*(1+MAX(0,1/7-Suministro_BESS!$A$13)*Suministro_BESS!$B$13)*$C$7*INDEX(Trayectorias!$B$15:$D$39,MATCH($A30,Trayectorias!$A$15:$A$39,0),$C$15)+$C$9*INDEX(Trayectorias!$K$15:$M$39,MATCH($A30,Trayectorias!$A$15:$A$39,0),$C$15)+$C$10*INDEX(Trayectorias!$K$15:$M$39,MATCH($A30,Trayectorias!$A$15:$A$39,0),$C$15)/7+$C$11*INDEX(Trayectorias!$K$15:$M$39,MATCH($A30,Trayectorias!$A$15:$A$39,0),$C$15)/($C$6*1000))*(1+$C$12)*(1+$C$13)/(1-$C$14)</f>
        <v>125.82599153002666</v>
      </c>
      <c r="I30" s="12">
        <f>($C$8*(1+MAX(0,1/8-Suministro_BESS!$A$13)*Suministro_BESS!$B$13)*$C$7*INDEX(Trayectorias!$B$15:$D$39,MATCH($A30,Trayectorias!$A$15:$A$39,0),$C$15)+$C$9*INDEX(Trayectorias!$K$15:$M$39,MATCH($A30,Trayectorias!$A$15:$A$39,0),$C$15)+$C$10*INDEX(Trayectorias!$K$15:$M$39,MATCH($A30,Trayectorias!$A$15:$A$39,0),$C$15)/8+$C$11*INDEX(Trayectorias!$K$15:$M$39,MATCH($A30,Trayectorias!$A$15:$A$39,0),$C$15)/($C$6*1000))*(1+$C$12)*(1+$C$13)/(1-$C$14)</f>
        <v>124.12465175519871</v>
      </c>
    </row>
    <row r="31" spans="1:9" x14ac:dyDescent="0.35">
      <c r="A31" s="32">
        <v>2038</v>
      </c>
      <c r="B31" s="12">
        <f>($C$8*(1+MAX(0,1/1-Suministro_BESS!$A$13)*Suministro_BESS!$B$13)*$C$7*INDEX(Trayectorias!$B$15:$D$39,MATCH($A31,Trayectorias!$A$15:$A$39,0),$C$15)+$C$9*INDEX(Trayectorias!$K$15:$M$39,MATCH($A31,Trayectorias!$A$15:$A$39,0),$C$15)+$C$10*INDEX(Trayectorias!$K$15:$M$39,MATCH($A31,Trayectorias!$A$15:$A$39,0),$C$15)/1+$C$11*INDEX(Trayectorias!$K$15:$M$39,MATCH($A31,Trayectorias!$A$15:$A$39,0),$C$15)/($C$6*1000))*(1+$C$12)*(1+$C$13)/(1-$C$14)</f>
        <v>214.63218404087047</v>
      </c>
      <c r="C31" s="12">
        <f>($C$8*(1+MAX(0,1/2-Suministro_BESS!$A$13)*Suministro_BESS!$B$13)*$C$7*INDEX(Trayectorias!$B$15:$D$39,MATCH($A31,Trayectorias!$A$15:$A$39,0),$C$15)+$C$9*INDEX(Trayectorias!$K$15:$M$39,MATCH($A31,Trayectorias!$A$15:$A$39,0),$C$15)+$C$10*INDEX(Trayectorias!$K$15:$M$39,MATCH($A31,Trayectorias!$A$15:$A$39,0),$C$15)/2+$C$11*INDEX(Trayectorias!$K$15:$M$39,MATCH($A31,Trayectorias!$A$15:$A$39,0),$C$15)/($C$6*1000))*(1+$C$12)*(1+$C$13)/(1-$C$14)</f>
        <v>157.44105010932546</v>
      </c>
      <c r="D31" s="12">
        <f>($C$8*(1+MAX(0,1/3-Suministro_BESS!$A$13)*Suministro_BESS!$B$13)*$C$7*INDEX(Trayectorias!$B$15:$D$39,MATCH($A31,Trayectorias!$A$15:$A$39,0),$C$15)+$C$9*INDEX(Trayectorias!$K$15:$M$39,MATCH($A31,Trayectorias!$A$15:$A$39,0),$C$15)+$C$10*INDEX(Trayectorias!$K$15:$M$39,MATCH($A31,Trayectorias!$A$15:$A$39,0),$C$15)/3+$C$11*INDEX(Trayectorias!$K$15:$M$39,MATCH($A31,Trayectorias!$A$15:$A$39,0),$C$15)/($C$6*1000))*(1+$C$12)*(1+$C$13)/(1-$C$14)</f>
        <v>141.67462099334315</v>
      </c>
      <c r="E31" s="12">
        <f>($C$8*(1+MAX(0,1/4-Suministro_BESS!$A$13)*Suministro_BESS!$B$13)*$C$7*INDEX(Trayectorias!$B$15:$D$39,MATCH($A31,Trayectorias!$A$15:$A$39,0),$C$15)+$C$9*INDEX(Trayectorias!$K$15:$M$39,MATCH($A31,Trayectorias!$A$15:$A$39,0),$C$15)+$C$10*INDEX(Trayectorias!$K$15:$M$39,MATCH($A31,Trayectorias!$A$15:$A$39,0),$C$15)/4+$C$11*INDEX(Trayectorias!$K$15:$M$39,MATCH($A31,Trayectorias!$A$15:$A$39,0),$C$15)/($C$6*1000))*(1+$C$12)*(1+$C$13)/(1-$C$14)</f>
        <v>133.79140643535203</v>
      </c>
      <c r="F31" s="12">
        <f>($C$8*(1+MAX(0,1/5-Suministro_BESS!$A$13)*Suministro_BESS!$B$13)*$C$7*INDEX(Trayectorias!$B$15:$D$39,MATCH($A31,Trayectorias!$A$15:$A$39,0),$C$15)+$C$9*INDEX(Trayectorias!$K$15:$M$39,MATCH($A31,Trayectorias!$A$15:$A$39,0),$C$15)+$C$10*INDEX(Trayectorias!$K$15:$M$39,MATCH($A31,Trayectorias!$A$15:$A$39,0),$C$15)/5+$C$11*INDEX(Trayectorias!$K$15:$M$39,MATCH($A31,Trayectorias!$A$15:$A$39,0),$C$15)/($C$6*1000))*(1+$C$12)*(1+$C$13)/(1-$C$14)</f>
        <v>129.06147770055736</v>
      </c>
      <c r="G31" s="12">
        <f>($C$8*(1+MAX(0,1/6-Suministro_BESS!$A$13)*Suministro_BESS!$B$13)*$C$7*INDEX(Trayectorias!$B$15:$D$39,MATCH($A31,Trayectorias!$A$15:$A$39,0),$C$15)+$C$9*INDEX(Trayectorias!$K$15:$M$39,MATCH($A31,Trayectorias!$A$15:$A$39,0),$C$15)+$C$10*INDEX(Trayectorias!$K$15:$M$39,MATCH($A31,Trayectorias!$A$15:$A$39,0),$C$15)/6+$C$11*INDEX(Trayectorias!$K$15:$M$39,MATCH($A31,Trayectorias!$A$15:$A$39,0),$C$15)/($C$6*1000))*(1+$C$12)*(1+$C$13)/(1-$C$14)</f>
        <v>125.90819187736091</v>
      </c>
      <c r="H31" s="12">
        <f>($C$8*(1+MAX(0,1/7-Suministro_BESS!$A$13)*Suministro_BESS!$B$13)*$C$7*INDEX(Trayectorias!$B$15:$D$39,MATCH($A31,Trayectorias!$A$15:$A$39,0),$C$15)+$C$9*INDEX(Trayectorias!$K$15:$M$39,MATCH($A31,Trayectorias!$A$15:$A$39,0),$C$15)+$C$10*INDEX(Trayectorias!$K$15:$M$39,MATCH($A31,Trayectorias!$A$15:$A$39,0),$C$15)/7+$C$11*INDEX(Trayectorias!$K$15:$M$39,MATCH($A31,Trayectorias!$A$15:$A$39,0),$C$15)/($C$6*1000))*(1+$C$12)*(1+$C$13)/(1-$C$14)</f>
        <v>123.65584486079197</v>
      </c>
      <c r="I31" s="12">
        <f>($C$8*(1+MAX(0,1/8-Suministro_BESS!$A$13)*Suministro_BESS!$B$13)*$C$7*INDEX(Trayectorias!$B$15:$D$39,MATCH($A31,Trayectorias!$A$15:$A$39,0),$C$15)+$C$9*INDEX(Trayectorias!$K$15:$M$39,MATCH($A31,Trayectorias!$A$15:$A$39,0),$C$15)+$C$10*INDEX(Trayectorias!$K$15:$M$39,MATCH($A31,Trayectorias!$A$15:$A$39,0),$C$15)/8+$C$11*INDEX(Trayectorias!$K$15:$M$39,MATCH($A31,Trayectorias!$A$15:$A$39,0),$C$15)/($C$6*1000))*(1+$C$12)*(1+$C$13)/(1-$C$14)</f>
        <v>121.9665845983653</v>
      </c>
    </row>
    <row r="32" spans="1:9" x14ac:dyDescent="0.35">
      <c r="A32" s="32">
        <v>2039</v>
      </c>
      <c r="B32" s="12">
        <f>($C$8*(1+MAX(0,1/1-Suministro_BESS!$A$13)*Suministro_BESS!$B$13)*$C$7*INDEX(Trayectorias!$B$15:$D$39,MATCH($A32,Trayectorias!$A$15:$A$39,0),$C$15)+$C$9*INDEX(Trayectorias!$K$15:$M$39,MATCH($A32,Trayectorias!$A$15:$A$39,0),$C$15)+$C$10*INDEX(Trayectorias!$K$15:$M$39,MATCH($A32,Trayectorias!$A$15:$A$39,0),$C$15)/1+$C$11*INDEX(Trayectorias!$K$15:$M$39,MATCH($A32,Trayectorias!$A$15:$A$39,0),$C$15)/($C$6*1000))*(1+$C$12)*(1+$C$13)/(1-$C$14)</f>
        <v>211.72082916201364</v>
      </c>
      <c r="C32" s="12">
        <f>($C$8*(1+MAX(0,1/2-Suministro_BESS!$A$13)*Suministro_BESS!$B$13)*$C$7*INDEX(Trayectorias!$B$15:$D$39,MATCH($A32,Trayectorias!$A$15:$A$39,0),$C$15)+$C$9*INDEX(Trayectorias!$K$15:$M$39,MATCH($A32,Trayectorias!$A$15:$A$39,0),$C$15)+$C$10*INDEX(Trayectorias!$K$15:$M$39,MATCH($A32,Trayectorias!$A$15:$A$39,0),$C$15)/2+$C$11*INDEX(Trayectorias!$K$15:$M$39,MATCH($A32,Trayectorias!$A$15:$A$39,0),$C$15)/($C$6*1000))*(1+$C$12)*(1+$C$13)/(1-$C$14)</f>
        <v>155.07324894889459</v>
      </c>
      <c r="D32" s="12">
        <f>($C$8*(1+MAX(0,1/3-Suministro_BESS!$A$13)*Suministro_BESS!$B$13)*$C$7*INDEX(Trayectorias!$B$15:$D$39,MATCH($A32,Trayectorias!$A$15:$A$39,0),$C$15)+$C$9*INDEX(Trayectorias!$K$15:$M$39,MATCH($A32,Trayectorias!$A$15:$A$39,0),$C$15)+$C$10*INDEX(Trayectorias!$K$15:$M$39,MATCH($A32,Trayectorias!$A$15:$A$39,0),$C$15)/3+$C$11*INDEX(Trayectorias!$K$15:$M$39,MATCH($A32,Trayectorias!$A$15:$A$39,0),$C$15)/($C$6*1000))*(1+$C$12)*(1+$C$13)/(1-$C$14)</f>
        <v>139.41876147963578</v>
      </c>
      <c r="E32" s="12">
        <f>($C$8*(1+MAX(0,1/4-Suministro_BESS!$A$13)*Suministro_BESS!$B$13)*$C$7*INDEX(Trayectorias!$B$15:$D$39,MATCH($A32,Trayectorias!$A$15:$A$39,0),$C$15)+$C$9*INDEX(Trayectorias!$K$15:$M$39,MATCH($A32,Trayectorias!$A$15:$A$39,0),$C$15)+$C$10*INDEX(Trayectorias!$K$15:$M$39,MATCH($A32,Trayectorias!$A$15:$A$39,0),$C$15)/4+$C$11*INDEX(Trayectorias!$K$15:$M$39,MATCH($A32,Trayectorias!$A$15:$A$39,0),$C$15)/($C$6*1000))*(1+$C$12)*(1+$C$13)/(1-$C$14)</f>
        <v>131.59151774500637</v>
      </c>
      <c r="F32" s="12">
        <f>($C$8*(1+MAX(0,1/5-Suministro_BESS!$A$13)*Suministro_BESS!$B$13)*$C$7*INDEX(Trayectorias!$B$15:$D$39,MATCH($A32,Trayectorias!$A$15:$A$39,0),$C$15)+$C$9*INDEX(Trayectorias!$K$15:$M$39,MATCH($A32,Trayectorias!$A$15:$A$39,0),$C$15)+$C$10*INDEX(Trayectorias!$K$15:$M$39,MATCH($A32,Trayectorias!$A$15:$A$39,0),$C$15)/5+$C$11*INDEX(Trayectorias!$K$15:$M$39,MATCH($A32,Trayectorias!$A$15:$A$39,0),$C$15)/($C$6*1000))*(1+$C$12)*(1+$C$13)/(1-$C$14)</f>
        <v>126.89517150422874</v>
      </c>
      <c r="G32" s="12">
        <f>($C$8*(1+MAX(0,1/6-Suministro_BESS!$A$13)*Suministro_BESS!$B$13)*$C$7*INDEX(Trayectorias!$B$15:$D$39,MATCH($A32,Trayectorias!$A$15:$A$39,0),$C$15)+$C$9*INDEX(Trayectorias!$K$15:$M$39,MATCH($A32,Trayectorias!$A$15:$A$39,0),$C$15)+$C$10*INDEX(Trayectorias!$K$15:$M$39,MATCH($A32,Trayectorias!$A$15:$A$39,0),$C$15)/6+$C$11*INDEX(Trayectorias!$K$15:$M$39,MATCH($A32,Trayectorias!$A$15:$A$39,0),$C$15)/($C$6*1000))*(1+$C$12)*(1+$C$13)/(1-$C$14)</f>
        <v>123.76427401037697</v>
      </c>
      <c r="H32" s="12">
        <f>($C$8*(1+MAX(0,1/7-Suministro_BESS!$A$13)*Suministro_BESS!$B$13)*$C$7*INDEX(Trayectorias!$B$15:$D$39,MATCH($A32,Trayectorias!$A$15:$A$39,0),$C$15)+$C$9*INDEX(Trayectorias!$K$15:$M$39,MATCH($A32,Trayectorias!$A$15:$A$39,0),$C$15)+$C$10*INDEX(Trayectorias!$K$15:$M$39,MATCH($A32,Trayectorias!$A$15:$A$39,0),$C$15)/7+$C$11*INDEX(Trayectorias!$K$15:$M$39,MATCH($A32,Trayectorias!$A$15:$A$39,0),$C$15)/($C$6*1000))*(1+$C$12)*(1+$C$13)/(1-$C$14)</f>
        <v>121.52791865762569</v>
      </c>
      <c r="I32" s="12">
        <f>($C$8*(1+MAX(0,1/8-Suministro_BESS!$A$13)*Suministro_BESS!$B$13)*$C$7*INDEX(Trayectorias!$B$15:$D$39,MATCH($A32,Trayectorias!$A$15:$A$39,0),$C$15)+$C$9*INDEX(Trayectorias!$K$15:$M$39,MATCH($A32,Trayectorias!$A$15:$A$39,0),$C$15)+$C$10*INDEX(Trayectorias!$K$15:$M$39,MATCH($A32,Trayectorias!$A$15:$A$39,0),$C$15)/8+$C$11*INDEX(Trayectorias!$K$15:$M$39,MATCH($A32,Trayectorias!$A$15:$A$39,0),$C$15)/($C$6*1000))*(1+$C$12)*(1+$C$13)/(1-$C$14)</f>
        <v>119.85065214306226</v>
      </c>
    </row>
    <row r="33" spans="1:9" x14ac:dyDescent="0.35">
      <c r="A33" s="32">
        <v>2040</v>
      </c>
      <c r="B33" s="12">
        <f>($C$8*(1+MAX(0,1/1-Suministro_BESS!$A$13)*Suministro_BESS!$B$13)*$C$7*INDEX(Trayectorias!$B$15:$D$39,MATCH($A33,Trayectorias!$A$15:$A$39,0),$C$15)+$C$9*INDEX(Trayectorias!$K$15:$M$39,MATCH($A33,Trayectorias!$A$15:$A$39,0),$C$15)+$C$10*INDEX(Trayectorias!$K$15:$M$39,MATCH($A33,Trayectorias!$A$15:$A$39,0),$C$15)/1+$C$11*INDEX(Trayectorias!$K$15:$M$39,MATCH($A33,Trayectorias!$A$15:$A$39,0),$C$15)/($C$6*1000))*(1+$C$12)*(1+$C$13)/(1-$C$14)</f>
        <v>208.85928169661213</v>
      </c>
      <c r="C33" s="12">
        <f>($C$8*(1+MAX(0,1/2-Suministro_BESS!$A$13)*Suministro_BESS!$B$13)*$C$7*INDEX(Trayectorias!$B$15:$D$39,MATCH($A33,Trayectorias!$A$15:$A$39,0),$C$15)+$C$9*INDEX(Trayectorias!$K$15:$M$39,MATCH($A33,Trayectorias!$A$15:$A$39,0),$C$15)+$C$10*INDEX(Trayectorias!$K$15:$M$39,MATCH($A33,Trayectorias!$A$15:$A$39,0),$C$15)/2+$C$11*INDEX(Trayectorias!$K$15:$M$39,MATCH($A33,Trayectorias!$A$15:$A$39,0),$C$15)/($C$6*1000))*(1+$C$12)*(1+$C$13)/(1-$C$14)</f>
        <v>152.74850854050052</v>
      </c>
      <c r="D33" s="12">
        <f>($C$8*(1+MAX(0,1/3-Suministro_BESS!$A$13)*Suministro_BESS!$B$13)*$C$7*INDEX(Trayectorias!$B$15:$D$39,MATCH($A33,Trayectorias!$A$15:$A$39,0),$C$15)+$C$9*INDEX(Trayectorias!$K$15:$M$39,MATCH($A33,Trayectorias!$A$15:$A$39,0),$C$15)+$C$10*INDEX(Trayectorias!$K$15:$M$39,MATCH($A33,Trayectorias!$A$15:$A$39,0),$C$15)/3+$C$11*INDEX(Trayectorias!$K$15:$M$39,MATCH($A33,Trayectorias!$A$15:$A$39,0),$C$15)/($C$6*1000))*(1+$C$12)*(1+$C$13)/(1-$C$14)</f>
        <v>137.20516793227341</v>
      </c>
      <c r="E33" s="12">
        <f>($C$8*(1+MAX(0,1/4-Suministro_BESS!$A$13)*Suministro_BESS!$B$13)*$C$7*INDEX(Trayectorias!$B$15:$D$39,MATCH($A33,Trayectorias!$A$15:$A$39,0),$C$15)+$C$9*INDEX(Trayectorias!$K$15:$M$39,MATCH($A33,Trayectorias!$A$15:$A$39,0),$C$15)+$C$10*INDEX(Trayectorias!$K$15:$M$39,MATCH($A33,Trayectorias!$A$15:$A$39,0),$C$15)/4+$C$11*INDEX(Trayectorias!$K$15:$M$39,MATCH($A33,Trayectorias!$A$15:$A$39,0),$C$15)/($C$6*1000))*(1+$C$12)*(1+$C$13)/(1-$C$14)</f>
        <v>129.4334976281599</v>
      </c>
      <c r="F33" s="12">
        <f>($C$8*(1+MAX(0,1/5-Suministro_BESS!$A$13)*Suministro_BESS!$B$13)*$C$7*INDEX(Trayectorias!$B$15:$D$39,MATCH($A33,Trayectorias!$A$15:$A$39,0),$C$15)+$C$9*INDEX(Trayectorias!$K$15:$M$39,MATCH($A33,Trayectorias!$A$15:$A$39,0),$C$15)+$C$10*INDEX(Trayectorias!$K$15:$M$39,MATCH($A33,Trayectorias!$A$15:$A$39,0),$C$15)/5+$C$11*INDEX(Trayectorias!$K$15:$M$39,MATCH($A33,Trayectorias!$A$15:$A$39,0),$C$15)/($C$6*1000))*(1+$C$12)*(1+$C$13)/(1-$C$14)</f>
        <v>124.77049544569179</v>
      </c>
      <c r="G33" s="12">
        <f>($C$8*(1+MAX(0,1/6-Suministro_BESS!$A$13)*Suministro_BESS!$B$13)*$C$7*INDEX(Trayectorias!$B$15:$D$39,MATCH($A33,Trayectorias!$A$15:$A$39,0),$C$15)+$C$9*INDEX(Trayectorias!$K$15:$M$39,MATCH($A33,Trayectorias!$A$15:$A$39,0),$C$15)+$C$10*INDEX(Trayectorias!$K$15:$M$39,MATCH($A33,Trayectorias!$A$15:$A$39,0),$C$15)/6+$C$11*INDEX(Trayectorias!$K$15:$M$39,MATCH($A33,Trayectorias!$A$15:$A$39,0),$C$15)/($C$6*1000))*(1+$C$12)*(1+$C$13)/(1-$C$14)</f>
        <v>121.66182732404639</v>
      </c>
      <c r="H33" s="12">
        <f>($C$8*(1+MAX(0,1/7-Suministro_BESS!$A$13)*Suministro_BESS!$B$13)*$C$7*INDEX(Trayectorias!$B$15:$D$39,MATCH($A33,Trayectorias!$A$15:$A$39,0),$C$15)+$C$9*INDEX(Trayectorias!$K$15:$M$39,MATCH($A33,Trayectorias!$A$15:$A$39,0),$C$15)+$C$10*INDEX(Trayectorias!$K$15:$M$39,MATCH($A33,Trayectorias!$A$15:$A$39,0),$C$15)/7+$C$11*INDEX(Trayectorias!$K$15:$M$39,MATCH($A33,Trayectorias!$A$15:$A$39,0),$C$15)/($C$6*1000))*(1+$C$12)*(1+$C$13)/(1-$C$14)</f>
        <v>119.44135009429965</v>
      </c>
      <c r="I33" s="12">
        <f>($C$8*(1+MAX(0,1/8-Suministro_BESS!$A$13)*Suministro_BESS!$B$13)*$C$7*INDEX(Trayectorias!$B$15:$D$39,MATCH($A33,Trayectorias!$A$15:$A$39,0),$C$15)+$C$9*INDEX(Trayectorias!$K$15:$M$39,MATCH($A33,Trayectorias!$A$15:$A$39,0),$C$15)+$C$10*INDEX(Trayectorias!$K$15:$M$39,MATCH($A33,Trayectorias!$A$15:$A$39,0),$C$15)/8+$C$11*INDEX(Trayectorias!$K$15:$M$39,MATCH($A33,Trayectorias!$A$15:$A$39,0),$C$15)/($C$6*1000))*(1+$C$12)*(1+$C$13)/(1-$C$14)</f>
        <v>117.77599217198961</v>
      </c>
    </row>
    <row r="34" spans="1:9" x14ac:dyDescent="0.35">
      <c r="A34" s="32">
        <v>2041</v>
      </c>
      <c r="B34" s="12">
        <f>($C$8*(1+MAX(0,1/1-Suministro_BESS!$A$13)*Suministro_BESS!$B$13)*$C$7*INDEX(Trayectorias!$B$15:$D$39,MATCH($A34,Trayectorias!$A$15:$A$39,0),$C$15)+$C$9*INDEX(Trayectorias!$K$15:$M$39,MATCH($A34,Trayectorias!$A$15:$A$39,0),$C$15)+$C$10*INDEX(Trayectorias!$K$15:$M$39,MATCH($A34,Trayectorias!$A$15:$A$39,0),$C$15)/1+$C$11*INDEX(Trayectorias!$K$15:$M$39,MATCH($A34,Trayectorias!$A$15:$A$39,0),$C$15)/($C$6*1000))*(1+$C$12)*(1+$C$13)/(1-$C$14)</f>
        <v>206.04657613936035</v>
      </c>
      <c r="C34" s="12">
        <f>($C$8*(1+MAX(0,1/2-Suministro_BESS!$A$13)*Suministro_BESS!$B$13)*$C$7*INDEX(Trayectorias!$B$15:$D$39,MATCH($A34,Trayectorias!$A$15:$A$39,0),$C$15)+$C$9*INDEX(Trayectorias!$K$15:$M$39,MATCH($A34,Trayectorias!$A$15:$A$39,0),$C$15)+$C$10*INDEX(Trayectorias!$K$15:$M$39,MATCH($A34,Trayectorias!$A$15:$A$39,0),$C$15)/2+$C$11*INDEX(Trayectorias!$K$15:$M$39,MATCH($A34,Trayectorias!$A$15:$A$39,0),$C$15)/($C$6*1000))*(1+$C$12)*(1+$C$13)/(1-$C$14)</f>
        <v>150.46597191616399</v>
      </c>
      <c r="D34" s="12">
        <f>($C$8*(1+MAX(0,1/3-Suministro_BESS!$A$13)*Suministro_BESS!$B$13)*$C$7*INDEX(Trayectorias!$B$15:$D$39,MATCH($A34,Trayectorias!$A$15:$A$39,0),$C$15)+$C$9*INDEX(Trayectorias!$K$15:$M$39,MATCH($A34,Trayectorias!$A$15:$A$39,0),$C$15)+$C$10*INDEX(Trayectorias!$K$15:$M$39,MATCH($A34,Trayectorias!$A$15:$A$39,0),$C$15)/3+$C$11*INDEX(Trayectorias!$K$15:$M$39,MATCH($A34,Trayectorias!$A$15:$A$39,0),$C$15)/($C$6*1000))*(1+$C$12)*(1+$C$13)/(1-$C$14)</f>
        <v>135.03298902625536</v>
      </c>
      <c r="E34" s="12">
        <f>($C$8*(1+MAX(0,1/4-Suministro_BESS!$A$13)*Suministro_BESS!$B$13)*$C$7*INDEX(Trayectorias!$B$15:$D$39,MATCH($A34,Trayectorias!$A$15:$A$39,0),$C$15)+$C$9*INDEX(Trayectorias!$K$15:$M$39,MATCH($A34,Trayectorias!$A$15:$A$39,0),$C$15)+$C$10*INDEX(Trayectorias!$K$15:$M$39,MATCH($A34,Trayectorias!$A$15:$A$39,0),$C$15)/4+$C$11*INDEX(Trayectorias!$K$15:$M$39,MATCH($A34,Trayectorias!$A$15:$A$39,0),$C$15)/($C$6*1000))*(1+$C$12)*(1+$C$13)/(1-$C$14)</f>
        <v>127.31649758130104</v>
      </c>
      <c r="F34" s="12">
        <f>($C$8*(1+MAX(0,1/5-Suministro_BESS!$A$13)*Suministro_BESS!$B$13)*$C$7*INDEX(Trayectorias!$B$15:$D$39,MATCH($A34,Trayectorias!$A$15:$A$39,0),$C$15)+$C$9*INDEX(Trayectorias!$K$15:$M$39,MATCH($A34,Trayectorias!$A$15:$A$39,0),$C$15)+$C$10*INDEX(Trayectorias!$K$15:$M$39,MATCH($A34,Trayectorias!$A$15:$A$39,0),$C$15)/5+$C$11*INDEX(Trayectorias!$K$15:$M$39,MATCH($A34,Trayectorias!$A$15:$A$39,0),$C$15)/($C$6*1000))*(1+$C$12)*(1+$C$13)/(1-$C$14)</f>
        <v>122.6866027143284</v>
      </c>
      <c r="G34" s="12">
        <f>($C$8*(1+MAX(0,1/6-Suministro_BESS!$A$13)*Suministro_BESS!$B$13)*$C$7*INDEX(Trayectorias!$B$15:$D$39,MATCH($A34,Trayectorias!$A$15:$A$39,0),$C$15)+$C$9*INDEX(Trayectorias!$K$15:$M$39,MATCH($A34,Trayectorias!$A$15:$A$39,0),$C$15)+$C$10*INDEX(Trayectorias!$K$15:$M$39,MATCH($A34,Trayectorias!$A$15:$A$39,0),$C$15)/6+$C$11*INDEX(Trayectorias!$K$15:$M$39,MATCH($A34,Trayectorias!$A$15:$A$39,0),$C$15)/($C$6*1000))*(1+$C$12)*(1+$C$13)/(1-$C$14)</f>
        <v>119.60000613634671</v>
      </c>
      <c r="H34" s="12">
        <f>($C$8*(1+MAX(0,1/7-Suministro_BESS!$A$13)*Suministro_BESS!$B$13)*$C$7*INDEX(Trayectorias!$B$15:$D$39,MATCH($A34,Trayectorias!$A$15:$A$39,0),$C$15)+$C$9*INDEX(Trayectorias!$K$15:$M$39,MATCH($A34,Trayectorias!$A$15:$A$39,0),$C$15)+$C$10*INDEX(Trayectorias!$K$15:$M$39,MATCH($A34,Trayectorias!$A$15:$A$39,0),$C$15)/7+$C$11*INDEX(Trayectorias!$K$15:$M$39,MATCH($A34,Trayectorias!$A$15:$A$39,0),$C$15)/($C$6*1000))*(1+$C$12)*(1+$C$13)/(1-$C$14)</f>
        <v>117.39529429493118</v>
      </c>
      <c r="I34" s="12">
        <f>($C$8*(1+MAX(0,1/8-Suministro_BESS!$A$13)*Suministro_BESS!$B$13)*$C$7*INDEX(Trayectorias!$B$15:$D$39,MATCH($A34,Trayectorias!$A$15:$A$39,0),$C$15)+$C$9*INDEX(Trayectorias!$K$15:$M$39,MATCH($A34,Trayectorias!$A$15:$A$39,0),$C$15)+$C$10*INDEX(Trayectorias!$K$15:$M$39,MATCH($A34,Trayectorias!$A$15:$A$39,0),$C$15)/8+$C$11*INDEX(Trayectorias!$K$15:$M$39,MATCH($A34,Trayectorias!$A$15:$A$39,0),$C$15)/($C$6*1000))*(1+$C$12)*(1+$C$13)/(1-$C$14)</f>
        <v>115.74176041386953</v>
      </c>
    </row>
    <row r="35" spans="1:9" x14ac:dyDescent="0.35">
      <c r="A35" s="32">
        <v>2042</v>
      </c>
      <c r="B35" s="12">
        <f>($C$8*(1+MAX(0,1/1-Suministro_BESS!$A$13)*Suministro_BESS!$B$13)*$C$7*INDEX(Trayectorias!$B$15:$D$39,MATCH($A35,Trayectorias!$A$15:$A$39,0),$C$15)+$C$9*INDEX(Trayectorias!$K$15:$M$39,MATCH($A35,Trayectorias!$A$15:$A$39,0),$C$15)+$C$10*INDEX(Trayectorias!$K$15:$M$39,MATCH($A35,Trayectorias!$A$15:$A$39,0),$C$15)/1+$C$11*INDEX(Trayectorias!$K$15:$M$39,MATCH($A35,Trayectorias!$A$15:$A$39,0),$C$15)/($C$6*1000))*(1+$C$12)*(1+$C$13)/(1-$C$14)</f>
        <v>203.28176668936641</v>
      </c>
      <c r="C35" s="12">
        <f>($C$8*(1+MAX(0,1/2-Suministro_BESS!$A$13)*Suministro_BESS!$B$13)*$C$7*INDEX(Trayectorias!$B$15:$D$39,MATCH($A35,Trayectorias!$A$15:$A$39,0),$C$15)+$C$9*INDEX(Trayectorias!$K$15:$M$39,MATCH($A35,Trayectorias!$A$15:$A$39,0),$C$15)+$C$10*INDEX(Trayectorias!$K$15:$M$39,MATCH($A35,Trayectorias!$A$15:$A$39,0),$C$15)/2+$C$11*INDEX(Trayectorias!$K$15:$M$39,MATCH($A35,Trayectorias!$A$15:$A$39,0),$C$15)/($C$6*1000))*(1+$C$12)*(1+$C$13)/(1-$C$14)</f>
        <v>148.22479976834799</v>
      </c>
      <c r="D35" s="12">
        <f>($C$8*(1+MAX(0,1/3-Suministro_BESS!$A$13)*Suministro_BESS!$B$13)*$C$7*INDEX(Trayectorias!$B$15:$D$39,MATCH($A35,Trayectorias!$A$15:$A$39,0),$C$15)+$C$9*INDEX(Trayectorias!$K$15:$M$39,MATCH($A35,Trayectorias!$A$15:$A$39,0),$C$15)+$C$10*INDEX(Trayectorias!$K$15:$M$39,MATCH($A35,Trayectorias!$A$15:$A$39,0),$C$15)/3+$C$11*INDEX(Trayectorias!$K$15:$M$39,MATCH($A35,Trayectorias!$A$15:$A$39,0),$C$15)/($C$6*1000))*(1+$C$12)*(1+$C$13)/(1-$C$14)</f>
        <v>132.90139105695766</v>
      </c>
      <c r="E35" s="12">
        <f>($C$8*(1+MAX(0,1/4-Suministro_BESS!$A$13)*Suministro_BESS!$B$13)*$C$7*INDEX(Trayectorias!$B$15:$D$39,MATCH($A35,Trayectorias!$A$15:$A$39,0),$C$15)+$C$9*INDEX(Trayectorias!$K$15:$M$39,MATCH($A35,Trayectorias!$A$15:$A$39,0),$C$15)+$C$10*INDEX(Trayectorias!$K$15:$M$39,MATCH($A35,Trayectorias!$A$15:$A$39,0),$C$15)/4+$C$11*INDEX(Trayectorias!$K$15:$M$39,MATCH($A35,Trayectorias!$A$15:$A$39,0),$C$15)/($C$6*1000))*(1+$C$12)*(1+$C$13)/(1-$C$14)</f>
        <v>125.23968670126251</v>
      </c>
      <c r="F35" s="12">
        <f>($C$8*(1+MAX(0,1/5-Suministro_BESS!$A$13)*Suministro_BESS!$B$13)*$C$7*INDEX(Trayectorias!$B$15:$D$39,MATCH($A35,Trayectorias!$A$15:$A$39,0),$C$15)+$C$9*INDEX(Trayectorias!$K$15:$M$39,MATCH($A35,Trayectorias!$A$15:$A$39,0),$C$15)+$C$10*INDEX(Trayectorias!$K$15:$M$39,MATCH($A35,Trayectorias!$A$15:$A$39,0),$C$15)/5+$C$11*INDEX(Trayectorias!$K$15:$M$39,MATCH($A35,Trayectorias!$A$15:$A$39,0),$C$15)/($C$6*1000))*(1+$C$12)*(1+$C$13)/(1-$C$14)</f>
        <v>120.64266408784542</v>
      </c>
      <c r="G35" s="12">
        <f>($C$8*(1+MAX(0,1/6-Suministro_BESS!$A$13)*Suministro_BESS!$B$13)*$C$7*INDEX(Trayectorias!$B$15:$D$39,MATCH($A35,Trayectorias!$A$15:$A$39,0),$C$15)+$C$9*INDEX(Trayectorias!$K$15:$M$39,MATCH($A35,Trayectorias!$A$15:$A$39,0),$C$15)+$C$10*INDEX(Trayectorias!$K$15:$M$39,MATCH($A35,Trayectorias!$A$15:$A$39,0),$C$15)/6+$C$11*INDEX(Trayectorias!$K$15:$M$39,MATCH($A35,Trayectorias!$A$15:$A$39,0),$C$15)/($C$6*1000))*(1+$C$12)*(1+$C$13)/(1-$C$14)</f>
        <v>117.57798234556735</v>
      </c>
      <c r="H35" s="12">
        <f>($C$8*(1+MAX(0,1/7-Suministro_BESS!$A$13)*Suministro_BESS!$B$13)*$C$7*INDEX(Trayectorias!$B$15:$D$39,MATCH($A35,Trayectorias!$A$15:$A$39,0),$C$15)+$C$9*INDEX(Trayectorias!$K$15:$M$39,MATCH($A35,Trayectorias!$A$15:$A$39,0),$C$15)+$C$10*INDEX(Trayectorias!$K$15:$M$39,MATCH($A35,Trayectorias!$A$15:$A$39,0),$C$15)/7+$C$11*INDEX(Trayectorias!$K$15:$M$39,MATCH($A35,Trayectorias!$A$15:$A$39,0),$C$15)/($C$6*1000))*(1+$C$12)*(1+$C$13)/(1-$C$14)</f>
        <v>115.38892395822589</v>
      </c>
      <c r="I35" s="12">
        <f>($C$8*(1+MAX(0,1/8-Suministro_BESS!$A$13)*Suministro_BESS!$B$13)*$C$7*INDEX(Trayectorias!$B$15:$D$39,MATCH($A35,Trayectorias!$A$15:$A$39,0),$C$15)+$C$9*INDEX(Trayectorias!$K$15:$M$39,MATCH($A35,Trayectorias!$A$15:$A$39,0),$C$15)+$C$10*INDEX(Trayectorias!$K$15:$M$39,MATCH($A35,Trayectorias!$A$15:$A$39,0),$C$15)/8+$C$11*INDEX(Trayectorias!$K$15:$M$39,MATCH($A35,Trayectorias!$A$15:$A$39,0),$C$15)/($C$6*1000))*(1+$C$12)*(1+$C$13)/(1-$C$14)</f>
        <v>113.7471301677198</v>
      </c>
    </row>
    <row r="36" spans="1:9" x14ac:dyDescent="0.35">
      <c r="A36" s="32">
        <v>2043</v>
      </c>
      <c r="B36" s="12">
        <f>($C$8*(1+MAX(0,1/1-Suministro_BESS!$A$13)*Suministro_BESS!$B$13)*$C$7*INDEX(Trayectorias!$B$15:$D$39,MATCH($A36,Trayectorias!$A$15:$A$39,0),$C$15)+$C$9*INDEX(Trayectorias!$K$15:$M$39,MATCH($A36,Trayectorias!$A$15:$A$39,0),$C$15)+$C$10*INDEX(Trayectorias!$K$15:$M$39,MATCH($A36,Trayectorias!$A$15:$A$39,0),$C$15)/1+$C$11*INDEX(Trayectorias!$K$15:$M$39,MATCH($A36,Trayectorias!$A$15:$A$39,0),$C$15)/($C$6*1000))*(1+$C$12)*(1+$C$13)/(1-$C$14)</f>
        <v>200.56392684041492</v>
      </c>
      <c r="C36" s="12">
        <f>($C$8*(1+MAX(0,1/2-Suministro_BESS!$A$13)*Suministro_BESS!$B$13)*$C$7*INDEX(Trayectorias!$B$15:$D$39,MATCH($A36,Trayectorias!$A$15:$A$39,0),$C$15)+$C$9*INDEX(Trayectorias!$K$15:$M$39,MATCH($A36,Trayectorias!$A$15:$A$39,0),$C$15)+$C$10*INDEX(Trayectorias!$K$15:$M$39,MATCH($A36,Trayectorias!$A$15:$A$39,0),$C$15)/2+$C$11*INDEX(Trayectorias!$K$15:$M$39,MATCH($A36,Trayectorias!$A$15:$A$39,0),$C$15)/($C$6*1000))*(1+$C$12)*(1+$C$13)/(1-$C$14)</f>
        <v>146.0241700814729</v>
      </c>
      <c r="D36" s="12">
        <f>($C$8*(1+MAX(0,1/3-Suministro_BESS!$A$13)*Suministro_BESS!$B$13)*$C$7*INDEX(Trayectorias!$B$15:$D$39,MATCH($A36,Trayectorias!$A$15:$A$39,0),$C$15)+$C$9*INDEX(Trayectorias!$K$15:$M$39,MATCH($A36,Trayectorias!$A$15:$A$39,0),$C$15)+$C$10*INDEX(Trayectorias!$K$15:$M$39,MATCH($A36,Trayectorias!$A$15:$A$39,0),$C$15)/3+$C$11*INDEX(Trayectorias!$K$15:$M$39,MATCH($A36,Trayectorias!$A$15:$A$39,0),$C$15)/($C$6*1000))*(1+$C$12)*(1+$C$13)/(1-$C$14)</f>
        <v>130.80955757193345</v>
      </c>
      <c r="E36" s="12">
        <f>($C$8*(1+MAX(0,1/4-Suministro_BESS!$A$13)*Suministro_BESS!$B$13)*$C$7*INDEX(Trayectorias!$B$15:$D$39,MATCH($A36,Trayectorias!$A$15:$A$39,0),$C$15)+$C$9*INDEX(Trayectorias!$K$15:$M$39,MATCH($A36,Trayectorias!$A$15:$A$39,0),$C$15)+$C$10*INDEX(Trayectorias!$K$15:$M$39,MATCH($A36,Trayectorias!$A$15:$A$39,0),$C$15)/4+$C$11*INDEX(Trayectorias!$K$15:$M$39,MATCH($A36,Trayectorias!$A$15:$A$39,0),$C$15)/($C$6*1000))*(1+$C$12)*(1+$C$13)/(1-$C$14)</f>
        <v>123.20225131716374</v>
      </c>
      <c r="F36" s="12">
        <f>($C$8*(1+MAX(0,1/5-Suministro_BESS!$A$13)*Suministro_BESS!$B$13)*$C$7*INDEX(Trayectorias!$B$15:$D$39,MATCH($A36,Trayectorias!$A$15:$A$39,0),$C$15)+$C$9*INDEX(Trayectorias!$K$15:$M$39,MATCH($A36,Trayectorias!$A$15:$A$39,0),$C$15)+$C$10*INDEX(Trayectorias!$K$15:$M$39,MATCH($A36,Trayectorias!$A$15:$A$39,0),$C$15)/5+$C$11*INDEX(Trayectorias!$K$15:$M$39,MATCH($A36,Trayectorias!$A$15:$A$39,0),$C$15)/($C$6*1000))*(1+$C$12)*(1+$C$13)/(1-$C$14)</f>
        <v>118.6378675643019</v>
      </c>
      <c r="G36" s="12">
        <f>($C$8*(1+MAX(0,1/6-Suministro_BESS!$A$13)*Suministro_BESS!$B$13)*$C$7*INDEX(Trayectorias!$B$15:$D$39,MATCH($A36,Trayectorias!$A$15:$A$39,0),$C$15)+$C$9*INDEX(Trayectorias!$K$15:$M$39,MATCH($A36,Trayectorias!$A$15:$A$39,0),$C$15)+$C$10*INDEX(Trayectorias!$K$15:$M$39,MATCH($A36,Trayectorias!$A$15:$A$39,0),$C$15)/6+$C$11*INDEX(Trayectorias!$K$15:$M$39,MATCH($A36,Trayectorias!$A$15:$A$39,0),$C$15)/($C$6*1000))*(1+$C$12)*(1+$C$13)/(1-$C$14)</f>
        <v>115.59494506239403</v>
      </c>
      <c r="H36" s="12">
        <f>($C$8*(1+MAX(0,1/7-Suministro_BESS!$A$13)*Suministro_BESS!$B$13)*$C$7*INDEX(Trayectorias!$B$15:$D$39,MATCH($A36,Trayectorias!$A$15:$A$39,0),$C$15)+$C$9*INDEX(Trayectorias!$K$15:$M$39,MATCH($A36,Trayectorias!$A$15:$A$39,0),$C$15)+$C$10*INDEX(Trayectorias!$K$15:$M$39,MATCH($A36,Trayectorias!$A$15:$A$39,0),$C$15)/7+$C$11*INDEX(Trayectorias!$K$15:$M$39,MATCH($A36,Trayectorias!$A$15:$A$39,0),$C$15)/($C$6*1000))*(1+$C$12)*(1+$C$13)/(1-$C$14)</f>
        <v>113.42142898960269</v>
      </c>
      <c r="I36" s="12">
        <f>($C$8*(1+MAX(0,1/8-Suministro_BESS!$A$13)*Suministro_BESS!$B$13)*$C$7*INDEX(Trayectorias!$B$15:$D$39,MATCH($A36,Trayectorias!$A$15:$A$39,0),$C$15)+$C$9*INDEX(Trayectorias!$K$15:$M$39,MATCH($A36,Trayectorias!$A$15:$A$39,0),$C$15)+$C$10*INDEX(Trayectorias!$K$15:$M$39,MATCH($A36,Trayectorias!$A$15:$A$39,0),$C$15)/8+$C$11*INDEX(Trayectorias!$K$15:$M$39,MATCH($A36,Trayectorias!$A$15:$A$39,0),$C$15)/($C$6*1000))*(1+$C$12)*(1+$C$13)/(1-$C$14)</f>
        <v>111.79129193500916</v>
      </c>
    </row>
    <row r="37" spans="1:9" x14ac:dyDescent="0.35">
      <c r="A37" s="32">
        <v>2044</v>
      </c>
      <c r="B37" s="12">
        <f>($C$8*(1+MAX(0,1/1-Suministro_BESS!$A$13)*Suministro_BESS!$B$13)*$C$7*INDEX(Trayectorias!$B$15:$D$39,MATCH($A37,Trayectorias!$A$15:$A$39,0),$C$15)+$C$9*INDEX(Trayectorias!$K$15:$M$39,MATCH($A37,Trayectorias!$A$15:$A$39,0),$C$15)+$C$10*INDEX(Trayectorias!$K$15:$M$39,MATCH($A37,Trayectorias!$A$15:$A$39,0),$C$15)/1+$C$11*INDEX(Trayectorias!$K$15:$M$39,MATCH($A37,Trayectorias!$A$15:$A$39,0),$C$15)/($C$6*1000))*(1+$C$12)*(1+$C$13)/(1-$C$14)</f>
        <v>197.8921489798056</v>
      </c>
      <c r="C37" s="12">
        <f>($C$8*(1+MAX(0,1/2-Suministro_BESS!$A$13)*Suministro_BESS!$B$13)*$C$7*INDEX(Trayectorias!$B$15:$D$39,MATCH($A37,Trayectorias!$A$15:$A$39,0),$C$15)+$C$9*INDEX(Trayectorias!$K$15:$M$39,MATCH($A37,Trayectorias!$A$15:$A$39,0),$C$15)+$C$10*INDEX(Trayectorias!$K$15:$M$39,MATCH($A37,Trayectorias!$A$15:$A$39,0),$C$15)/2+$C$11*INDEX(Trayectorias!$K$15:$M$39,MATCH($A37,Trayectorias!$A$15:$A$39,0),$C$15)/($C$6*1000))*(1+$C$12)*(1+$C$13)/(1-$C$14)</f>
        <v>143.86327777115355</v>
      </c>
      <c r="D37" s="12">
        <f>($C$8*(1+MAX(0,1/3-Suministro_BESS!$A$13)*Suministro_BESS!$B$13)*$C$7*INDEX(Trayectorias!$B$15:$D$39,MATCH($A37,Trayectorias!$A$15:$A$39,0),$C$15)+$C$9*INDEX(Trayectorias!$K$15:$M$39,MATCH($A37,Trayectorias!$A$15:$A$39,0),$C$15)+$C$10*INDEX(Trayectorias!$K$15:$M$39,MATCH($A37,Trayectorias!$A$15:$A$39,0),$C$15)/3+$C$11*INDEX(Trayectorias!$K$15:$M$39,MATCH($A37,Trayectorias!$A$15:$A$39,0),$C$15)/($C$6*1000))*(1+$C$12)*(1+$C$13)/(1-$C$14)</f>
        <v>128.75668901043184</v>
      </c>
      <c r="E37" s="12">
        <f>($C$8*(1+MAX(0,1/4-Suministro_BESS!$A$13)*Suministro_BESS!$B$13)*$C$7*INDEX(Trayectorias!$B$15:$D$39,MATCH($A37,Trayectorias!$A$15:$A$39,0),$C$15)+$C$9*INDEX(Trayectorias!$K$15:$M$39,MATCH($A37,Trayectorias!$A$15:$A$39,0),$C$15)+$C$10*INDEX(Trayectorias!$K$15:$M$39,MATCH($A37,Trayectorias!$A$15:$A$39,0),$C$15)/4+$C$11*INDEX(Trayectorias!$K$15:$M$39,MATCH($A37,Trayectorias!$A$15:$A$39,0),$C$15)/($C$6*1000))*(1+$C$12)*(1+$C$13)/(1-$C$14)</f>
        <v>121.20339463007099</v>
      </c>
      <c r="F37" s="12">
        <f>($C$8*(1+MAX(0,1/5-Suministro_BESS!$A$13)*Suministro_BESS!$B$13)*$C$7*INDEX(Trayectorias!$B$15:$D$39,MATCH($A37,Trayectorias!$A$15:$A$39,0),$C$15)+$C$9*INDEX(Trayectorias!$K$15:$M$39,MATCH($A37,Trayectorias!$A$15:$A$39,0),$C$15)+$C$10*INDEX(Trayectorias!$K$15:$M$39,MATCH($A37,Trayectorias!$A$15:$A$39,0),$C$15)/5+$C$11*INDEX(Trayectorias!$K$15:$M$39,MATCH($A37,Trayectorias!$A$15:$A$39,0),$C$15)/($C$6*1000))*(1+$C$12)*(1+$C$13)/(1-$C$14)</f>
        <v>116.67141800185448</v>
      </c>
      <c r="G37" s="12">
        <f>($C$8*(1+MAX(0,1/6-Suministro_BESS!$A$13)*Suministro_BESS!$B$13)*$C$7*INDEX(Trayectorias!$B$15:$D$39,MATCH($A37,Trayectorias!$A$15:$A$39,0),$C$15)+$C$9*INDEX(Trayectorias!$K$15:$M$39,MATCH($A37,Trayectorias!$A$15:$A$39,0),$C$15)+$C$10*INDEX(Trayectorias!$K$15:$M$39,MATCH($A37,Trayectorias!$A$15:$A$39,0),$C$15)/6+$C$11*INDEX(Trayectorias!$K$15:$M$39,MATCH($A37,Trayectorias!$A$15:$A$39,0),$C$15)/($C$6*1000))*(1+$C$12)*(1+$C$13)/(1-$C$14)</f>
        <v>113.65010024971014</v>
      </c>
      <c r="H37" s="12">
        <f>($C$8*(1+MAX(0,1/7-Suministro_BESS!$A$13)*Suministro_BESS!$B$13)*$C$7*INDEX(Trayectorias!$B$15:$D$39,MATCH($A37,Trayectorias!$A$15:$A$39,0),$C$15)+$C$9*INDEX(Trayectorias!$K$15:$M$39,MATCH($A37,Trayectorias!$A$15:$A$39,0),$C$15)+$C$10*INDEX(Trayectorias!$K$15:$M$39,MATCH($A37,Trayectorias!$A$15:$A$39,0),$C$15)/7+$C$11*INDEX(Trayectorias!$K$15:$M$39,MATCH($A37,Trayectorias!$A$15:$A$39,0),$C$15)/($C$6*1000))*(1+$C$12)*(1+$C$13)/(1-$C$14)</f>
        <v>111.49201614103561</v>
      </c>
      <c r="I37" s="12">
        <f>($C$8*(1+MAX(0,1/8-Suministro_BESS!$A$13)*Suministro_BESS!$B$13)*$C$7*INDEX(Trayectorias!$B$15:$D$39,MATCH($A37,Trayectorias!$A$15:$A$39,0),$C$15)+$C$9*INDEX(Trayectorias!$K$15:$M$39,MATCH($A37,Trayectorias!$A$15:$A$39,0),$C$15)+$C$10*INDEX(Trayectorias!$K$15:$M$39,MATCH($A37,Trayectorias!$A$15:$A$39,0),$C$15)/8+$C$11*INDEX(Trayectorias!$K$15:$M$39,MATCH($A37,Trayectorias!$A$15:$A$39,0),$C$15)/($C$6*1000))*(1+$C$12)*(1+$C$13)/(1-$C$14)</f>
        <v>109.87345305952971</v>
      </c>
    </row>
    <row r="38" spans="1:9" x14ac:dyDescent="0.35">
      <c r="A38" s="32">
        <v>2045</v>
      </c>
      <c r="B38" s="12">
        <f>($C$8*(1+MAX(0,1/1-Suministro_BESS!$A$13)*Suministro_BESS!$B$13)*$C$7*INDEX(Trayectorias!$B$15:$D$39,MATCH($A38,Trayectorias!$A$15:$A$39,0),$C$15)+$C$9*INDEX(Trayectorias!$K$15:$M$39,MATCH($A38,Trayectorias!$A$15:$A$39,0),$C$15)+$C$10*INDEX(Trayectorias!$K$15:$M$39,MATCH($A38,Trayectorias!$A$15:$A$39,0),$C$15)/1+$C$11*INDEX(Trayectorias!$K$15:$M$39,MATCH($A38,Trayectorias!$A$15:$A$39,0),$C$15)/($C$6*1000))*(1+$C$12)*(1+$C$13)/(1-$C$14)</f>
        <v>195.26554399558748</v>
      </c>
      <c r="C38" s="12">
        <f>($C$8*(1+MAX(0,1/2-Suministro_BESS!$A$13)*Suministro_BESS!$B$13)*$C$7*INDEX(Trayectorias!$B$15:$D$39,MATCH($A38,Trayectorias!$A$15:$A$39,0),$C$15)+$C$9*INDEX(Trayectorias!$K$15:$M$39,MATCH($A38,Trayectorias!$A$15:$A$39,0),$C$15)+$C$10*INDEX(Trayectorias!$K$15:$M$39,MATCH($A38,Trayectorias!$A$15:$A$39,0),$C$15)/2+$C$11*INDEX(Trayectorias!$K$15:$M$39,MATCH($A38,Trayectorias!$A$15:$A$39,0),$C$15)/($C$6*1000))*(1+$C$12)*(1+$C$13)/(1-$C$14)</f>
        <v>141.74133433099504</v>
      </c>
      <c r="D38" s="12">
        <f>($C$8*(1+MAX(0,1/3-Suministro_BESS!$A$13)*Suministro_BESS!$B$13)*$C$7*INDEX(Trayectorias!$B$15:$D$39,MATCH($A38,Trayectorias!$A$15:$A$39,0),$C$15)+$C$9*INDEX(Trayectorias!$K$15:$M$39,MATCH($A38,Trayectorias!$A$15:$A$39,0),$C$15)+$C$10*INDEX(Trayectorias!$K$15:$M$39,MATCH($A38,Trayectorias!$A$15:$A$39,0),$C$15)/3+$C$11*INDEX(Trayectorias!$K$15:$M$39,MATCH($A38,Trayectorias!$A$15:$A$39,0),$C$15)/($C$6*1000))*(1+$C$12)*(1+$C$13)/(1-$C$14)</f>
        <v>126.74200235047444</v>
      </c>
      <c r="E38" s="12">
        <f>($C$8*(1+MAX(0,1/4-Suministro_BESS!$A$13)*Suministro_BESS!$B$13)*$C$7*INDEX(Trayectorias!$B$15:$D$39,MATCH($A38,Trayectorias!$A$15:$A$39,0),$C$15)+$C$9*INDEX(Trayectorias!$K$15:$M$39,MATCH($A38,Trayectorias!$A$15:$A$39,0),$C$15)+$C$10*INDEX(Trayectorias!$K$15:$M$39,MATCH($A38,Trayectorias!$A$15:$A$39,0),$C$15)/4+$C$11*INDEX(Trayectorias!$K$15:$M$39,MATCH($A38,Trayectorias!$A$15:$A$39,0),$C$15)/($C$6*1000))*(1+$C$12)*(1+$C$13)/(1-$C$14)</f>
        <v>119.24233636021415</v>
      </c>
      <c r="F38" s="12">
        <f>($C$8*(1+MAX(0,1/5-Suministro_BESS!$A$13)*Suministro_BESS!$B$13)*$C$7*INDEX(Trayectorias!$B$15:$D$39,MATCH($A38,Trayectorias!$A$15:$A$39,0),$C$15)+$C$9*INDEX(Trayectorias!$K$15:$M$39,MATCH($A38,Trayectorias!$A$15:$A$39,0),$C$15)+$C$10*INDEX(Trayectorias!$K$15:$M$39,MATCH($A38,Trayectorias!$A$15:$A$39,0),$C$15)/5+$C$11*INDEX(Trayectorias!$K$15:$M$39,MATCH($A38,Trayectorias!$A$15:$A$39,0),$C$15)/($C$6*1000))*(1+$C$12)*(1+$C$13)/(1-$C$14)</f>
        <v>114.74253676605795</v>
      </c>
      <c r="G38" s="12">
        <f>($C$8*(1+MAX(0,1/6-Suministro_BESS!$A$13)*Suministro_BESS!$B$13)*$C$7*INDEX(Trayectorias!$B$15:$D$39,MATCH($A38,Trayectorias!$A$15:$A$39,0),$C$15)+$C$9*INDEX(Trayectorias!$K$15:$M$39,MATCH($A38,Trayectorias!$A$15:$A$39,0),$C$15)+$C$10*INDEX(Trayectorias!$K$15:$M$39,MATCH($A38,Trayectorias!$A$15:$A$39,0),$C$15)/6+$C$11*INDEX(Trayectorias!$K$15:$M$39,MATCH($A38,Trayectorias!$A$15:$A$39,0),$C$15)/($C$6*1000))*(1+$C$12)*(1+$C$13)/(1-$C$14)</f>
        <v>111.74267036995384</v>
      </c>
      <c r="H38" s="12">
        <f>($C$8*(1+MAX(0,1/7-Suministro_BESS!$A$13)*Suministro_BESS!$B$13)*$C$7*INDEX(Trayectorias!$B$15:$D$39,MATCH($A38,Trayectorias!$A$15:$A$39,0),$C$15)+$C$9*INDEX(Trayectorias!$K$15:$M$39,MATCH($A38,Trayectorias!$A$15:$A$39,0),$C$15)+$C$10*INDEX(Trayectorias!$K$15:$M$39,MATCH($A38,Trayectorias!$A$15:$A$39,0),$C$15)/7+$C$11*INDEX(Trayectorias!$K$15:$M$39,MATCH($A38,Trayectorias!$A$15:$A$39,0),$C$15)/($C$6*1000))*(1+$C$12)*(1+$C$13)/(1-$C$14)</f>
        <v>109.59990865845089</v>
      </c>
      <c r="I38" s="12">
        <f>($C$8*(1+MAX(0,1/8-Suministro_BESS!$A$13)*Suministro_BESS!$B$13)*$C$7*INDEX(Trayectorias!$B$15:$D$39,MATCH($A38,Trayectorias!$A$15:$A$39,0),$C$15)+$C$9*INDEX(Trayectorias!$K$15:$M$39,MATCH($A38,Trayectorias!$A$15:$A$39,0),$C$15)+$C$10*INDEX(Trayectorias!$K$15:$M$39,MATCH($A38,Trayectorias!$A$15:$A$39,0),$C$15)/8+$C$11*INDEX(Trayectorias!$K$15:$M$39,MATCH($A38,Trayectorias!$A$15:$A$39,0),$C$15)/($C$6*1000))*(1+$C$12)*(1+$C$13)/(1-$C$14)</f>
        <v>107.99283737482371</v>
      </c>
    </row>
    <row r="39" spans="1:9" x14ac:dyDescent="0.35">
      <c r="A39" s="32">
        <v>2046</v>
      </c>
      <c r="B39" s="12">
        <f>($C$8*(1+MAX(0,1/1-Suministro_BESS!$A$13)*Suministro_BESS!$B$13)*$C$7*INDEX(Trayectorias!$B$15:$D$39,MATCH($A39,Trayectorias!$A$15:$A$39,0),$C$15)+$C$9*INDEX(Trayectorias!$K$15:$M$39,MATCH($A39,Trayectorias!$A$15:$A$39,0),$C$15)+$C$10*INDEX(Trayectorias!$K$15:$M$39,MATCH($A39,Trayectorias!$A$15:$A$39,0),$C$15)/1+$C$11*INDEX(Trayectorias!$K$15:$M$39,MATCH($A39,Trayectorias!$A$15:$A$39,0),$C$15)/($C$6*1000))*(1+$C$12)*(1+$C$13)/(1-$C$14)</f>
        <v>192.68324089201295</v>
      </c>
      <c r="C39" s="12">
        <f>($C$8*(1+MAX(0,1/2-Suministro_BESS!$A$13)*Suministro_BESS!$B$13)*$C$7*INDEX(Trayectorias!$B$15:$D$39,MATCH($A39,Trayectorias!$A$15:$A$39,0),$C$15)+$C$9*INDEX(Trayectorias!$K$15:$M$39,MATCH($A39,Trayectorias!$A$15:$A$39,0),$C$15)+$C$10*INDEX(Trayectorias!$K$15:$M$39,MATCH($A39,Trayectorias!$A$15:$A$39,0),$C$15)/2+$C$11*INDEX(Trayectorias!$K$15:$M$39,MATCH($A39,Trayectorias!$A$15:$A$39,0),$C$15)/($C$6*1000))*(1+$C$12)*(1+$C$13)/(1-$C$14)</f>
        <v>139.65756748678922</v>
      </c>
      <c r="D39" s="12">
        <f>($C$8*(1+MAX(0,1/3-Suministro_BESS!$A$13)*Suministro_BESS!$B$13)*$C$7*INDEX(Trayectorias!$B$15:$D$39,MATCH($A39,Trayectorias!$A$15:$A$39,0),$C$15)+$C$9*INDEX(Trayectorias!$K$15:$M$39,MATCH($A39,Trayectorias!$A$15:$A$39,0),$C$15)+$C$10*INDEX(Trayectorias!$K$15:$M$39,MATCH($A39,Trayectorias!$A$15:$A$39,0),$C$15)/3+$C$11*INDEX(Trayectorias!$K$15:$M$39,MATCH($A39,Trayectorias!$A$15:$A$39,0),$C$15)/($C$6*1000))*(1+$C$12)*(1+$C$13)/(1-$C$14)</f>
        <v>124.76473076333033</v>
      </c>
      <c r="E39" s="12">
        <f>($C$8*(1+MAX(0,1/4-Suministro_BESS!$A$13)*Suministro_BESS!$B$13)*$C$7*INDEX(Trayectorias!$B$15:$D$39,MATCH($A39,Trayectorias!$A$15:$A$39,0),$C$15)+$C$9*INDEX(Trayectorias!$K$15:$M$39,MATCH($A39,Trayectorias!$A$15:$A$39,0),$C$15)+$C$10*INDEX(Trayectorias!$K$15:$M$39,MATCH($A39,Trayectorias!$A$15:$A$39,0),$C$15)/4+$C$11*INDEX(Trayectorias!$K$15:$M$39,MATCH($A39,Trayectorias!$A$15:$A$39,0),$C$15)/($C$6*1000))*(1+$C$12)*(1+$C$13)/(1-$C$14)</f>
        <v>117.31831240160092</v>
      </c>
      <c r="F39" s="12">
        <f>($C$8*(1+MAX(0,1/5-Suministro_BESS!$A$13)*Suministro_BESS!$B$13)*$C$7*INDEX(Trayectorias!$B$15:$D$39,MATCH($A39,Trayectorias!$A$15:$A$39,0),$C$15)+$C$9*INDEX(Trayectorias!$K$15:$M$39,MATCH($A39,Trayectorias!$A$15:$A$39,0),$C$15)+$C$10*INDEX(Trayectorias!$K$15:$M$39,MATCH($A39,Trayectorias!$A$15:$A$39,0),$C$15)/5+$C$11*INDEX(Trayectorias!$K$15:$M$39,MATCH($A39,Trayectorias!$A$15:$A$39,0),$C$15)/($C$6*1000))*(1+$C$12)*(1+$C$13)/(1-$C$14)</f>
        <v>112.85046138456323</v>
      </c>
      <c r="G39" s="12">
        <f>($C$8*(1+MAX(0,1/6-Suministro_BESS!$A$13)*Suministro_BESS!$B$13)*$C$7*INDEX(Trayectorias!$B$15:$D$39,MATCH($A39,Trayectorias!$A$15:$A$39,0),$C$15)+$C$9*INDEX(Trayectorias!$K$15:$M$39,MATCH($A39,Trayectorias!$A$15:$A$39,0),$C$15)+$C$10*INDEX(Trayectorias!$K$15:$M$39,MATCH($A39,Trayectorias!$A$15:$A$39,0),$C$15)/6+$C$11*INDEX(Trayectorias!$K$15:$M$39,MATCH($A39,Trayectorias!$A$15:$A$39,0),$C$15)/($C$6*1000))*(1+$C$12)*(1+$C$13)/(1-$C$14)</f>
        <v>109.87189403987148</v>
      </c>
      <c r="H39" s="12">
        <f>($C$8*(1+MAX(0,1/7-Suministro_BESS!$A$13)*Suministro_BESS!$B$13)*$C$7*INDEX(Trayectorias!$B$15:$D$39,MATCH($A39,Trayectorias!$A$15:$A$39,0),$C$15)+$C$9*INDEX(Trayectorias!$K$15:$M$39,MATCH($A39,Trayectorias!$A$15:$A$39,0),$C$15)+$C$10*INDEX(Trayectorias!$K$15:$M$39,MATCH($A39,Trayectorias!$A$15:$A$39,0),$C$15)/7+$C$11*INDEX(Trayectorias!$K$15:$M$39,MATCH($A39,Trayectorias!$A$15:$A$39,0),$C$15)/($C$6*1000))*(1+$C$12)*(1+$C$13)/(1-$C$14)</f>
        <v>107.74434593652019</v>
      </c>
      <c r="I39" s="12">
        <f>($C$8*(1+MAX(0,1/8-Suministro_BESS!$A$13)*Suministro_BESS!$B$13)*$C$7*INDEX(Trayectorias!$B$15:$D$39,MATCH($A39,Trayectorias!$A$15:$A$39,0),$C$15)+$C$9*INDEX(Trayectorias!$K$15:$M$39,MATCH($A39,Trayectorias!$A$15:$A$39,0),$C$15)+$C$10*INDEX(Trayectorias!$K$15:$M$39,MATCH($A39,Trayectorias!$A$15:$A$39,0),$C$15)/8+$C$11*INDEX(Trayectorias!$K$15:$M$39,MATCH($A39,Trayectorias!$A$15:$A$39,0),$C$15)/($C$6*1000))*(1+$C$12)*(1+$C$13)/(1-$C$14)</f>
        <v>106.14868485900675</v>
      </c>
    </row>
    <row r="40" spans="1:9" x14ac:dyDescent="0.35">
      <c r="A40" s="32">
        <v>2047</v>
      </c>
      <c r="B40" s="12">
        <f>($C$8*(1+MAX(0,1/1-Suministro_BESS!$A$13)*Suministro_BESS!$B$13)*$C$7*INDEX(Trayectorias!$B$15:$D$39,MATCH($A40,Trayectorias!$A$15:$A$39,0),$C$15)+$C$9*INDEX(Trayectorias!$K$15:$M$39,MATCH($A40,Trayectorias!$A$15:$A$39,0),$C$15)+$C$10*INDEX(Trayectorias!$K$15:$M$39,MATCH($A40,Trayectorias!$A$15:$A$39,0),$C$15)/1+$C$11*INDEX(Trayectorias!$K$15:$M$39,MATCH($A40,Trayectorias!$A$15:$A$39,0),$C$15)/($C$6*1000))*(1+$C$12)*(1+$C$13)/(1-$C$14)</f>
        <v>190.14438641303911</v>
      </c>
      <c r="C40" s="12">
        <f>($C$8*(1+MAX(0,1/2-Suministro_BESS!$A$13)*Suministro_BESS!$B$13)*$C$7*INDEX(Trayectorias!$B$15:$D$39,MATCH($A40,Trayectorias!$A$15:$A$39,0),$C$15)+$C$9*INDEX(Trayectorias!$K$15:$M$39,MATCH($A40,Trayectorias!$A$15:$A$39,0),$C$15)+$C$10*INDEX(Trayectorias!$K$15:$M$39,MATCH($A40,Trayectorias!$A$15:$A$39,0),$C$15)/2+$C$11*INDEX(Trayectorias!$K$15:$M$39,MATCH($A40,Trayectorias!$A$15:$A$39,0),$C$15)/($C$6*1000))*(1+$C$12)*(1+$C$13)/(1-$C$14)</f>
        <v>137.61122085795691</v>
      </c>
      <c r="D40" s="12">
        <f>($C$8*(1+MAX(0,1/3-Suministro_BESS!$A$13)*Suministro_BESS!$B$13)*$C$7*INDEX(Trayectorias!$B$15:$D$39,MATCH($A40,Trayectorias!$A$15:$A$39,0),$C$15)+$C$9*INDEX(Trayectorias!$K$15:$M$39,MATCH($A40,Trayectorias!$A$15:$A$39,0),$C$15)+$C$10*INDEX(Trayectorias!$K$15:$M$39,MATCH($A40,Trayectorias!$A$15:$A$39,0),$C$15)/3+$C$11*INDEX(Trayectorias!$K$15:$M$39,MATCH($A40,Trayectorias!$A$15:$A$39,0),$C$15)/($C$6*1000))*(1+$C$12)*(1+$C$13)/(1-$C$14)</f>
        <v>122.8241232752346</v>
      </c>
      <c r="E40" s="12">
        <f>($C$8*(1+MAX(0,1/4-Suministro_BESS!$A$13)*Suministro_BESS!$B$13)*$C$7*INDEX(Trayectorias!$B$15:$D$39,MATCH($A40,Trayectorias!$A$15:$A$39,0),$C$15)+$C$9*INDEX(Trayectorias!$K$15:$M$39,MATCH($A40,Trayectorias!$A$15:$A$39,0),$C$15)+$C$10*INDEX(Trayectorias!$K$15:$M$39,MATCH($A40,Trayectorias!$A$15:$A$39,0),$C$15)/4+$C$11*INDEX(Trayectorias!$K$15:$M$39,MATCH($A40,Trayectorias!$A$15:$A$39,0),$C$15)/($C$6*1000))*(1+$C$12)*(1+$C$13)/(1-$C$14)</f>
        <v>115.43057448387341</v>
      </c>
      <c r="F40" s="12">
        <f>($C$8*(1+MAX(0,1/5-Suministro_BESS!$A$13)*Suministro_BESS!$B$13)*$C$7*INDEX(Trayectorias!$B$15:$D$39,MATCH($A40,Trayectorias!$A$15:$A$39,0),$C$15)+$C$9*INDEX(Trayectorias!$K$15:$M$39,MATCH($A40,Trayectorias!$A$15:$A$39,0),$C$15)+$C$10*INDEX(Trayectorias!$K$15:$M$39,MATCH($A40,Trayectorias!$A$15:$A$39,0),$C$15)/5+$C$11*INDEX(Trayectorias!$K$15:$M$39,MATCH($A40,Trayectorias!$A$15:$A$39,0),$C$15)/($C$6*1000))*(1+$C$12)*(1+$C$13)/(1-$C$14)</f>
        <v>110.99444520905674</v>
      </c>
      <c r="G40" s="12">
        <f>($C$8*(1+MAX(0,1/6-Suministro_BESS!$A$13)*Suministro_BESS!$B$13)*$C$7*INDEX(Trayectorias!$B$15:$D$39,MATCH($A40,Trayectorias!$A$15:$A$39,0),$C$15)+$C$9*INDEX(Trayectorias!$K$15:$M$39,MATCH($A40,Trayectorias!$A$15:$A$39,0),$C$15)+$C$10*INDEX(Trayectorias!$K$15:$M$39,MATCH($A40,Trayectorias!$A$15:$A$39,0),$C$15)/6+$C$11*INDEX(Trayectorias!$K$15:$M$39,MATCH($A40,Trayectorias!$A$15:$A$39,0),$C$15)/($C$6*1000))*(1+$C$12)*(1+$C$13)/(1-$C$14)</f>
        <v>108.03702569251226</v>
      </c>
      <c r="H40" s="12">
        <f>($C$8*(1+MAX(0,1/7-Suministro_BESS!$A$13)*Suministro_BESS!$B$13)*$C$7*INDEX(Trayectorias!$B$15:$D$39,MATCH($A40,Trayectorias!$A$15:$A$39,0),$C$15)+$C$9*INDEX(Trayectorias!$K$15:$M$39,MATCH($A40,Trayectorias!$A$15:$A$39,0),$C$15)+$C$10*INDEX(Trayectorias!$K$15:$M$39,MATCH($A40,Trayectorias!$A$15:$A$39,0),$C$15)/7+$C$11*INDEX(Trayectorias!$K$15:$M$39,MATCH($A40,Trayectorias!$A$15:$A$39,0),$C$15)/($C$6*1000))*(1+$C$12)*(1+$C$13)/(1-$C$14)</f>
        <v>105.92458318069478</v>
      </c>
      <c r="I40" s="12">
        <f>($C$8*(1+MAX(0,1/8-Suministro_BESS!$A$13)*Suministro_BESS!$B$13)*$C$7*INDEX(Trayectorias!$B$15:$D$39,MATCH($A40,Trayectorias!$A$15:$A$39,0),$C$15)+$C$9*INDEX(Trayectorias!$K$15:$M$39,MATCH($A40,Trayectorias!$A$15:$A$39,0),$C$15)+$C$10*INDEX(Trayectorias!$K$15:$M$39,MATCH($A40,Trayectorias!$A$15:$A$39,0),$C$15)/8+$C$11*INDEX(Trayectorias!$K$15:$M$39,MATCH($A40,Trayectorias!$A$15:$A$39,0),$C$15)/($C$6*1000))*(1+$C$12)*(1+$C$13)/(1-$C$14)</f>
        <v>104.34025129683167</v>
      </c>
    </row>
    <row r="41" spans="1:9" x14ac:dyDescent="0.35">
      <c r="A41" s="32">
        <v>2048</v>
      </c>
      <c r="B41" s="12">
        <f>($C$8*(1+MAX(0,1/1-Suministro_BESS!$A$13)*Suministro_BESS!$B$13)*$C$7*INDEX(Trayectorias!$B$15:$D$39,MATCH($A41,Trayectorias!$A$15:$A$39,0),$C$15)+$C$9*INDEX(Trayectorias!$K$15:$M$39,MATCH($A41,Trayectorias!$A$15:$A$39,0),$C$15)+$C$10*INDEX(Trayectorias!$K$15:$M$39,MATCH($A41,Trayectorias!$A$15:$A$39,0),$C$15)/1+$C$11*INDEX(Trayectorias!$K$15:$M$39,MATCH($A41,Trayectorias!$A$15:$A$39,0),$C$15)/($C$6*1000))*(1+$C$12)*(1+$C$13)/(1-$C$14)</f>
        <v>187.64814467370749</v>
      </c>
      <c r="C41" s="12">
        <f>($C$8*(1+MAX(0,1/2-Suministro_BESS!$A$13)*Suministro_BESS!$B$13)*$C$7*INDEX(Trayectorias!$B$15:$D$39,MATCH($A41,Trayectorias!$A$15:$A$39,0),$C$15)+$C$9*INDEX(Trayectorias!$K$15:$M$39,MATCH($A41,Trayectorias!$A$15:$A$39,0),$C$15)+$C$10*INDEX(Trayectorias!$K$15:$M$39,MATCH($A41,Trayectorias!$A$15:$A$39,0),$C$15)/2+$C$11*INDEX(Trayectorias!$K$15:$M$39,MATCH($A41,Trayectorias!$A$15:$A$39,0),$C$15)/($C$6*1000))*(1+$C$12)*(1+$C$13)/(1-$C$14)</f>
        <v>135.60155362608248</v>
      </c>
      <c r="D41" s="12">
        <f>($C$8*(1+MAX(0,1/3-Suministro_BESS!$A$13)*Suministro_BESS!$B$13)*$C$7*INDEX(Trayectorias!$B$15:$D$39,MATCH($A41,Trayectorias!$A$15:$A$39,0),$C$15)+$C$9*INDEX(Trayectorias!$K$15:$M$39,MATCH($A41,Trayectorias!$A$15:$A$39,0),$C$15)+$C$10*INDEX(Trayectorias!$K$15:$M$39,MATCH($A41,Trayectorias!$A$15:$A$39,0),$C$15)/3+$C$11*INDEX(Trayectorias!$K$15:$M$39,MATCH($A41,Trayectorias!$A$15:$A$39,0),$C$15)/($C$6*1000))*(1+$C$12)*(1+$C$13)/(1-$C$14)</f>
        <v>120.91944443619749</v>
      </c>
      <c r="E41" s="12">
        <f>($C$8*(1+MAX(0,1/4-Suministro_BESS!$A$13)*Suministro_BESS!$B$13)*$C$7*INDEX(Trayectorias!$B$15:$D$39,MATCH($A41,Trayectorias!$A$15:$A$39,0),$C$15)+$C$9*INDEX(Trayectorias!$K$15:$M$39,MATCH($A41,Trayectorias!$A$15:$A$39,0),$C$15)+$C$10*INDEX(Trayectorias!$K$15:$M$39,MATCH($A41,Trayectorias!$A$15:$A$39,0),$C$15)/4+$C$11*INDEX(Trayectorias!$K$15:$M$39,MATCH($A41,Trayectorias!$A$15:$A$39,0),$C$15)/($C$6*1000))*(1+$C$12)*(1+$C$13)/(1-$C$14)</f>
        <v>113.57838984125502</v>
      </c>
      <c r="F41" s="12">
        <f>($C$8*(1+MAX(0,1/5-Suministro_BESS!$A$13)*Suministro_BESS!$B$13)*$C$7*INDEX(Trayectorias!$B$15:$D$39,MATCH($A41,Trayectorias!$A$15:$A$39,0),$C$15)+$C$9*INDEX(Trayectorias!$K$15:$M$39,MATCH($A41,Trayectorias!$A$15:$A$39,0),$C$15)+$C$10*INDEX(Trayectorias!$K$15:$M$39,MATCH($A41,Trayectorias!$A$15:$A$39,0),$C$15)/5+$C$11*INDEX(Trayectorias!$K$15:$M$39,MATCH($A41,Trayectorias!$A$15:$A$39,0),$C$15)/($C$6*1000))*(1+$C$12)*(1+$C$13)/(1-$C$14)</f>
        <v>109.17375708428949</v>
      </c>
      <c r="G41" s="12">
        <f>($C$8*(1+MAX(0,1/6-Suministro_BESS!$A$13)*Suministro_BESS!$B$13)*$C$7*INDEX(Trayectorias!$B$15:$D$39,MATCH($A41,Trayectorias!$A$15:$A$39,0),$C$15)+$C$9*INDEX(Trayectorias!$K$15:$M$39,MATCH($A41,Trayectorias!$A$15:$A$39,0),$C$15)+$C$10*INDEX(Trayectorias!$K$15:$M$39,MATCH($A41,Trayectorias!$A$15:$A$39,0),$C$15)/6+$C$11*INDEX(Trayectorias!$K$15:$M$39,MATCH($A41,Trayectorias!$A$15:$A$39,0),$C$15)/($C$6*1000))*(1+$C$12)*(1+$C$13)/(1-$C$14)</f>
        <v>106.2373352463125</v>
      </c>
      <c r="H41" s="12">
        <f>($C$8*(1+MAX(0,1/7-Suministro_BESS!$A$13)*Suministro_BESS!$B$13)*$C$7*INDEX(Trayectorias!$B$15:$D$39,MATCH($A41,Trayectorias!$A$15:$A$39,0),$C$15)+$C$9*INDEX(Trayectorias!$K$15:$M$39,MATCH($A41,Trayectorias!$A$15:$A$39,0),$C$15)+$C$10*INDEX(Trayectorias!$K$15:$M$39,MATCH($A41,Trayectorias!$A$15:$A$39,0),$C$15)/7+$C$11*INDEX(Trayectorias!$K$15:$M$39,MATCH($A41,Trayectorias!$A$15:$A$39,0),$C$15)/($C$6*1000))*(1+$C$12)*(1+$C$13)/(1-$C$14)</f>
        <v>104.13989107632894</v>
      </c>
      <c r="I41" s="12">
        <f>($C$8*(1+MAX(0,1/8-Suministro_BESS!$A$13)*Suministro_BESS!$B$13)*$C$7*INDEX(Trayectorias!$B$15:$D$39,MATCH($A41,Trayectorias!$A$15:$A$39,0),$C$15)+$C$9*INDEX(Trayectorias!$K$15:$M$39,MATCH($A41,Trayectorias!$A$15:$A$39,0),$C$15)+$C$10*INDEX(Trayectorias!$K$15:$M$39,MATCH($A41,Trayectorias!$A$15:$A$39,0),$C$15)/8+$C$11*INDEX(Trayectorias!$K$15:$M$39,MATCH($A41,Trayectorias!$A$15:$A$39,0),$C$15)/($C$6*1000))*(1+$C$12)*(1+$C$13)/(1-$C$14)</f>
        <v>102.56680794884126</v>
      </c>
    </row>
    <row r="42" spans="1:9" x14ac:dyDescent="0.35">
      <c r="A42" s="32">
        <v>2049</v>
      </c>
      <c r="B42" s="12">
        <f>($C$8*(1+MAX(0,1/1-Suministro_BESS!$A$13)*Suministro_BESS!$B$13)*$C$7*INDEX(Trayectorias!$B$15:$D$39,MATCH($A42,Trayectorias!$A$15:$A$39,0),$C$15)+$C$9*INDEX(Trayectorias!$K$15:$M$39,MATCH($A42,Trayectorias!$A$15:$A$39,0),$C$15)+$C$10*INDEX(Trayectorias!$K$15:$M$39,MATCH($A42,Trayectorias!$A$15:$A$39,0),$C$15)/1+$C$11*INDEX(Trayectorias!$K$15:$M$39,MATCH($A42,Trayectorias!$A$15:$A$39,0),$C$15)/($C$6*1000))*(1+$C$12)*(1+$C$13)/(1-$C$14)</f>
        <v>185.19369679923693</v>
      </c>
      <c r="C42" s="12">
        <f>($C$8*(1+MAX(0,1/2-Suministro_BESS!$A$13)*Suministro_BESS!$B$13)*$C$7*INDEX(Trayectorias!$B$15:$D$39,MATCH($A42,Trayectorias!$A$15:$A$39,0),$C$15)+$C$9*INDEX(Trayectorias!$K$15:$M$39,MATCH($A42,Trayectorias!$A$15:$A$39,0),$C$15)+$C$10*INDEX(Trayectorias!$K$15:$M$39,MATCH($A42,Trayectorias!$A$15:$A$39,0),$C$15)/2+$C$11*INDEX(Trayectorias!$K$15:$M$39,MATCH($A42,Trayectorias!$A$15:$A$39,0),$C$15)/($C$6*1000))*(1+$C$12)*(1+$C$13)/(1-$C$14)</f>
        <v>133.62784021039383</v>
      </c>
      <c r="D42" s="12">
        <f>($C$8*(1+MAX(0,1/3-Suministro_BESS!$A$13)*Suministro_BESS!$B$13)*$C$7*INDEX(Trayectorias!$B$15:$D$39,MATCH($A42,Trayectorias!$A$15:$A$39,0),$C$15)+$C$9*INDEX(Trayectorias!$K$15:$M$39,MATCH($A42,Trayectorias!$A$15:$A$39,0),$C$15)+$C$10*INDEX(Trayectorias!$K$15:$M$39,MATCH($A42,Trayectorias!$A$15:$A$39,0),$C$15)/3+$C$11*INDEX(Trayectorias!$K$15:$M$39,MATCH($A42,Trayectorias!$A$15:$A$39,0),$C$15)/($C$6*1000))*(1+$C$12)*(1+$C$13)/(1-$C$14)</f>
        <v>119.04997399575701</v>
      </c>
      <c r="E42" s="12">
        <f>($C$8*(1+MAX(0,1/4-Suministro_BESS!$A$13)*Suministro_BESS!$B$13)*$C$7*INDEX(Trayectorias!$B$15:$D$39,MATCH($A42,Trayectorias!$A$15:$A$39,0),$C$15)+$C$9*INDEX(Trayectorias!$K$15:$M$39,MATCH($A42,Trayectorias!$A$15:$A$39,0),$C$15)+$C$10*INDEX(Trayectorias!$K$15:$M$39,MATCH($A42,Trayectorias!$A$15:$A$39,0),$C$15)/4+$C$11*INDEX(Trayectorias!$K$15:$M$39,MATCH($A42,Trayectorias!$A$15:$A$39,0),$C$15)/($C$6*1000))*(1+$C$12)*(1+$C$13)/(1-$C$14)</f>
        <v>111.7610408884386</v>
      </c>
      <c r="F42" s="12">
        <f>($C$8*(1+MAX(0,1/5-Suministro_BESS!$A$13)*Suministro_BESS!$B$13)*$C$7*INDEX(Trayectorias!$B$15:$D$39,MATCH($A42,Trayectorias!$A$15:$A$39,0),$C$15)+$C$9*INDEX(Trayectorias!$K$15:$M$39,MATCH($A42,Trayectorias!$A$15:$A$39,0),$C$15)+$C$10*INDEX(Trayectorias!$K$15:$M$39,MATCH($A42,Trayectorias!$A$15:$A$39,0),$C$15)/5+$C$11*INDEX(Trayectorias!$K$15:$M$39,MATCH($A42,Trayectorias!$A$15:$A$39,0),$C$15)/($C$6*1000))*(1+$C$12)*(1+$C$13)/(1-$C$14)</f>
        <v>107.38768102404758</v>
      </c>
      <c r="G42" s="12">
        <f>($C$8*(1+MAX(0,1/6-Suministro_BESS!$A$13)*Suministro_BESS!$B$13)*$C$7*INDEX(Trayectorias!$B$15:$D$39,MATCH($A42,Trayectorias!$A$15:$A$39,0),$C$15)+$C$9*INDEX(Trayectorias!$K$15:$M$39,MATCH($A42,Trayectorias!$A$15:$A$39,0),$C$15)+$C$10*INDEX(Trayectorias!$K$15:$M$39,MATCH($A42,Trayectorias!$A$15:$A$39,0),$C$15)/6+$C$11*INDEX(Trayectorias!$K$15:$M$39,MATCH($A42,Trayectorias!$A$15:$A$39,0),$C$15)/($C$6*1000))*(1+$C$12)*(1+$C$13)/(1-$C$14)</f>
        <v>104.4721077811202</v>
      </c>
      <c r="H42" s="12">
        <f>($C$8*(1+MAX(0,1/7-Suministro_BESS!$A$13)*Suministro_BESS!$B$13)*$C$7*INDEX(Trayectorias!$B$15:$D$39,MATCH($A42,Trayectorias!$A$15:$A$39,0),$C$15)+$C$9*INDEX(Trayectorias!$K$15:$M$39,MATCH($A42,Trayectorias!$A$15:$A$39,0),$C$15)+$C$10*INDEX(Trayectorias!$K$15:$M$39,MATCH($A42,Trayectorias!$A$15:$A$39,0),$C$15)/7+$C$11*INDEX(Trayectorias!$K$15:$M$39,MATCH($A42,Trayectorias!$A$15:$A$39,0),$C$15)/($C$6*1000))*(1+$C$12)*(1+$C$13)/(1-$C$14)</f>
        <v>102.38955546474351</v>
      </c>
      <c r="I42" s="12">
        <f>($C$8*(1+MAX(0,1/8-Suministro_BESS!$A$13)*Suministro_BESS!$B$13)*$C$7*INDEX(Trayectorias!$B$15:$D$39,MATCH($A42,Trayectorias!$A$15:$A$39,0),$C$15)+$C$9*INDEX(Trayectorias!$K$15:$M$39,MATCH($A42,Trayectorias!$A$15:$A$39,0),$C$15)+$C$10*INDEX(Trayectorias!$K$15:$M$39,MATCH($A42,Trayectorias!$A$15:$A$39,0),$C$15)/8+$C$11*INDEX(Trayectorias!$K$15:$M$39,MATCH($A42,Trayectorias!$A$15:$A$39,0),$C$15)/($C$6*1000))*(1+$C$12)*(1+$C$13)/(1-$C$14)</f>
        <v>100.827641227461</v>
      </c>
    </row>
    <row r="43" spans="1:9" x14ac:dyDescent="0.35">
      <c r="A43" s="32">
        <v>2050</v>
      </c>
      <c r="B43" s="12">
        <f>($C$8*(1+MAX(0,1/1-Suministro_BESS!$A$13)*Suministro_BESS!$B$13)*$C$7*INDEX(Trayectorias!$B$15:$D$39,MATCH($A43,Trayectorias!$A$15:$A$39,0),$C$15)+$C$9*INDEX(Trayectorias!$K$15:$M$39,MATCH($A43,Trayectorias!$A$15:$A$39,0),$C$15)+$C$10*INDEX(Trayectorias!$K$15:$M$39,MATCH($A43,Trayectorias!$A$15:$A$39,0),$C$15)/1+$C$11*INDEX(Trayectorias!$K$15:$M$39,MATCH($A43,Trayectorias!$A$15:$A$39,0),$C$15)/($C$6*1000))*(1+$C$12)*(1+$C$13)/(1-$C$14)</f>
        <v>182.78024057166812</v>
      </c>
      <c r="C43" s="12">
        <f>($C$8*(1+MAX(0,1/2-Suministro_BESS!$A$13)*Suministro_BESS!$B$13)*$C$7*INDEX(Trayectorias!$B$15:$D$39,MATCH($A43,Trayectorias!$A$15:$A$39,0),$C$15)+$C$9*INDEX(Trayectorias!$K$15:$M$39,MATCH($A43,Trayectorias!$A$15:$A$39,0),$C$15)+$C$10*INDEX(Trayectorias!$K$15:$M$39,MATCH($A43,Trayectorias!$A$15:$A$39,0),$C$15)/2+$C$11*INDEX(Trayectorias!$K$15:$M$39,MATCH($A43,Trayectorias!$A$15:$A$39,0),$C$15)/($C$6*1000))*(1+$C$12)*(1+$C$13)/(1-$C$14)</f>
        <v>131.68936995004037</v>
      </c>
      <c r="D43" s="12">
        <f>($C$8*(1+MAX(0,1/3-Suministro_BESS!$A$13)*Suministro_BESS!$B$13)*$C$7*INDEX(Trayectorias!$B$15:$D$39,MATCH($A43,Trayectorias!$A$15:$A$39,0),$C$15)+$C$9*INDEX(Trayectorias!$K$15:$M$39,MATCH($A43,Trayectorias!$A$15:$A$39,0),$C$15)+$C$10*INDEX(Trayectorias!$K$15:$M$39,MATCH($A43,Trayectorias!$A$15:$A$39,0),$C$15)/3+$C$11*INDEX(Trayectorias!$K$15:$M$39,MATCH($A43,Trayectorias!$A$15:$A$39,0),$C$15)/($C$6*1000))*(1+$C$12)*(1+$C$13)/(1-$C$14)</f>
        <v>117.21500658552749</v>
      </c>
      <c r="E43" s="12">
        <f>($C$8*(1+MAX(0,1/4-Suministro_BESS!$A$13)*Suministro_BESS!$B$13)*$C$7*INDEX(Trayectorias!$B$15:$D$39,MATCH($A43,Trayectorias!$A$15:$A$39,0),$C$15)+$C$9*INDEX(Trayectorias!$K$15:$M$39,MATCH($A43,Trayectorias!$A$15:$A$39,0),$C$15)+$C$10*INDEX(Trayectorias!$K$15:$M$39,MATCH($A43,Trayectorias!$A$15:$A$39,0),$C$15)/4+$C$11*INDEX(Trayectorias!$K$15:$M$39,MATCH($A43,Trayectorias!$A$15:$A$39,0),$C$15)/($C$6*1000))*(1+$C$12)*(1+$C$13)/(1-$C$14)</f>
        <v>109.97782490327104</v>
      </c>
      <c r="F43" s="12">
        <f>($C$8*(1+MAX(0,1/5-Suministro_BESS!$A$13)*Suministro_BESS!$B$13)*$C$7*INDEX(Trayectorias!$B$15:$D$39,MATCH($A43,Trayectorias!$A$15:$A$39,0),$C$15)+$C$9*INDEX(Trayectorias!$K$15:$M$39,MATCH($A43,Trayectorias!$A$15:$A$39,0),$C$15)+$C$10*INDEX(Trayectorias!$K$15:$M$39,MATCH($A43,Trayectorias!$A$15:$A$39,0),$C$15)/5+$C$11*INDEX(Trayectorias!$K$15:$M$39,MATCH($A43,Trayectorias!$A$15:$A$39,0),$C$15)/($C$6*1000))*(1+$C$12)*(1+$C$13)/(1-$C$14)</f>
        <v>105.63551589391716</v>
      </c>
      <c r="G43" s="12">
        <f>($C$8*(1+MAX(0,1/6-Suministro_BESS!$A$13)*Suministro_BESS!$B$13)*$C$7*INDEX(Trayectorias!$B$15:$D$39,MATCH($A43,Trayectorias!$A$15:$A$39,0),$C$15)+$C$9*INDEX(Trayectorias!$K$15:$M$39,MATCH($A43,Trayectorias!$A$15:$A$39,0),$C$15)+$C$10*INDEX(Trayectorias!$K$15:$M$39,MATCH($A43,Trayectorias!$A$15:$A$39,0),$C$15)/6+$C$11*INDEX(Trayectorias!$K$15:$M$39,MATCH($A43,Trayectorias!$A$15:$A$39,0),$C$15)/($C$6*1000))*(1+$C$12)*(1+$C$13)/(1-$C$14)</f>
        <v>102.74064322101459</v>
      </c>
      <c r="H43" s="12">
        <f>($C$8*(1+MAX(0,1/7-Suministro_BESS!$A$13)*Suministro_BESS!$B$13)*$C$7*INDEX(Trayectorias!$B$15:$D$39,MATCH($A43,Trayectorias!$A$15:$A$39,0),$C$15)+$C$9*INDEX(Trayectorias!$K$15:$M$39,MATCH($A43,Trayectorias!$A$15:$A$39,0),$C$15)+$C$10*INDEX(Trayectorias!$K$15:$M$39,MATCH($A43,Trayectorias!$A$15:$A$39,0),$C$15)/7+$C$11*INDEX(Trayectorias!$K$15:$M$39,MATCH($A43,Trayectorias!$A$15:$A$39,0),$C$15)/($C$6*1000))*(1+$C$12)*(1+$C$13)/(1-$C$14)</f>
        <v>100.67287702608415</v>
      </c>
      <c r="I43" s="12">
        <f>($C$8*(1+MAX(0,1/8-Suministro_BESS!$A$13)*Suministro_BESS!$B$13)*$C$7*INDEX(Trayectorias!$B$15:$D$39,MATCH($A43,Trayectorias!$A$15:$A$39,0),$C$15)+$C$9*INDEX(Trayectorias!$K$15:$M$39,MATCH($A43,Trayectorias!$A$15:$A$39,0),$C$15)+$C$10*INDEX(Trayectorias!$K$15:$M$39,MATCH($A43,Trayectorias!$A$15:$A$39,0),$C$15)/8+$C$11*INDEX(Trayectorias!$K$15:$M$39,MATCH($A43,Trayectorias!$A$15:$A$39,0),$C$15)/($C$6*1000))*(1+$C$12)*(1+$C$13)/(1-$C$14)</f>
        <v>99.122052379886341</v>
      </c>
    </row>
    <row r="45" spans="1:9" x14ac:dyDescent="0.35">
      <c r="A45" s="3" t="s">
        <v>203</v>
      </c>
    </row>
    <row r="46" spans="1:9" ht="33.75" customHeight="1" x14ac:dyDescent="0.35">
      <c r="A46" s="5" t="s">
        <v>167</v>
      </c>
      <c r="B46" s="5" t="s">
        <v>195</v>
      </c>
      <c r="C46" s="5" t="s">
        <v>196</v>
      </c>
      <c r="D46" s="5" t="s">
        <v>197</v>
      </c>
      <c r="E46" s="5" t="s">
        <v>198</v>
      </c>
      <c r="F46" s="5" t="s">
        <v>199</v>
      </c>
      <c r="G46" s="5" t="s">
        <v>200</v>
      </c>
      <c r="H46" s="5" t="s">
        <v>201</v>
      </c>
      <c r="I46" s="5" t="s">
        <v>202</v>
      </c>
    </row>
    <row r="47" spans="1:9" x14ac:dyDescent="0.35">
      <c r="A47" s="32">
        <v>2026</v>
      </c>
      <c r="B47" s="24">
        <f t="shared" ref="B47:B71" si="0">B19*1</f>
        <v>279.19443367593749</v>
      </c>
      <c r="C47" s="24">
        <f t="shared" ref="C47:C71" si="1">C19*2</f>
        <v>415.10386500187508</v>
      </c>
      <c r="D47" s="24">
        <f t="shared" ref="D47:D71" si="2">D19*3</f>
        <v>564.75233125281238</v>
      </c>
      <c r="E47" s="24">
        <f t="shared" ref="E47:E71" si="3">E19*4</f>
        <v>714.40079750375003</v>
      </c>
      <c r="F47" s="24">
        <f t="shared" ref="F47:F71" si="4">F19*5</f>
        <v>864.04926375468733</v>
      </c>
      <c r="G47" s="24">
        <f t="shared" ref="G47:G71" si="5">G19*6</f>
        <v>1013.6977300056249</v>
      </c>
      <c r="H47" s="24">
        <f t="shared" ref="H47:H71" si="6">H19*7</f>
        <v>1163.3461962565623</v>
      </c>
      <c r="I47" s="24">
        <f t="shared" ref="I47:I71" si="7">I19*8</f>
        <v>1312.9946625075002</v>
      </c>
    </row>
    <row r="48" spans="1:9" x14ac:dyDescent="0.35">
      <c r="A48" s="32">
        <v>2027</v>
      </c>
      <c r="B48" s="24">
        <f t="shared" si="0"/>
        <v>272.37684633871879</v>
      </c>
      <c r="C48" s="24">
        <f t="shared" si="1"/>
        <v>404.57011230983767</v>
      </c>
      <c r="D48" s="24">
        <f t="shared" si="2"/>
        <v>550.10398119313152</v>
      </c>
      <c r="E48" s="24">
        <f t="shared" si="3"/>
        <v>695.63785007642537</v>
      </c>
      <c r="F48" s="24">
        <f t="shared" si="4"/>
        <v>841.17171895971921</v>
      </c>
      <c r="G48" s="24">
        <f t="shared" si="5"/>
        <v>986.70558784301272</v>
      </c>
      <c r="H48" s="24">
        <f t="shared" si="6"/>
        <v>1132.2394567263068</v>
      </c>
      <c r="I48" s="24">
        <f t="shared" si="7"/>
        <v>1277.7733256096005</v>
      </c>
    </row>
    <row r="49" spans="1:9" x14ac:dyDescent="0.35">
      <c r="A49" s="32">
        <v>2028</v>
      </c>
      <c r="B49" s="24">
        <f t="shared" si="0"/>
        <v>265.73151591461573</v>
      </c>
      <c r="C49" s="24">
        <f t="shared" si="1"/>
        <v>394.3119036839484</v>
      </c>
      <c r="D49" s="24">
        <f t="shared" si="2"/>
        <v>535.84601688100292</v>
      </c>
      <c r="E49" s="24">
        <f t="shared" si="3"/>
        <v>677.38013007805739</v>
      </c>
      <c r="F49" s="24">
        <f t="shared" si="4"/>
        <v>818.91424327511209</v>
      </c>
      <c r="G49" s="24">
        <f t="shared" si="5"/>
        <v>960.44835647216632</v>
      </c>
      <c r="H49" s="24">
        <f t="shared" si="6"/>
        <v>1101.982469669221</v>
      </c>
      <c r="I49" s="24">
        <f t="shared" si="7"/>
        <v>1243.5165828662755</v>
      </c>
    </row>
    <row r="50" spans="1:9" x14ac:dyDescent="0.35">
      <c r="A50" s="32">
        <v>2029</v>
      </c>
      <c r="B50" s="24">
        <f t="shared" si="0"/>
        <v>259.25395347022925</v>
      </c>
      <c r="C50" s="24">
        <f t="shared" si="1"/>
        <v>384.3218440480511</v>
      </c>
      <c r="D50" s="24">
        <f t="shared" si="2"/>
        <v>521.96780201619072</v>
      </c>
      <c r="E50" s="24">
        <f t="shared" si="3"/>
        <v>659.61375998433061</v>
      </c>
      <c r="F50" s="24">
        <f t="shared" si="4"/>
        <v>797.25971795247028</v>
      </c>
      <c r="G50" s="24">
        <f t="shared" si="5"/>
        <v>934.90567592061007</v>
      </c>
      <c r="H50" s="24">
        <f t="shared" si="6"/>
        <v>1072.5516338887498</v>
      </c>
      <c r="I50" s="24">
        <f t="shared" si="7"/>
        <v>1210.1975918568899</v>
      </c>
    </row>
    <row r="51" spans="1:9" x14ac:dyDescent="0.35">
      <c r="A51" s="32">
        <v>2030</v>
      </c>
      <c r="B51" s="24">
        <f t="shared" si="0"/>
        <v>252.93979017153896</v>
      </c>
      <c r="C51" s="24">
        <f t="shared" si="1"/>
        <v>374.59274092873312</v>
      </c>
      <c r="D51" s="24">
        <f t="shared" si="2"/>
        <v>508.45899512192602</v>
      </c>
      <c r="E51" s="24">
        <f t="shared" si="3"/>
        <v>642.32524931511898</v>
      </c>
      <c r="F51" s="24">
        <f t="shared" si="4"/>
        <v>776.19150350831183</v>
      </c>
      <c r="G51" s="24">
        <f t="shared" si="5"/>
        <v>910.05775770150478</v>
      </c>
      <c r="H51" s="24">
        <f t="shared" si="6"/>
        <v>1043.9240118946977</v>
      </c>
      <c r="I51" s="24">
        <f t="shared" si="7"/>
        <v>1177.7902660878906</v>
      </c>
    </row>
    <row r="52" spans="1:9" x14ac:dyDescent="0.35">
      <c r="A52" s="32">
        <v>2031</v>
      </c>
      <c r="B52" s="24">
        <f t="shared" si="0"/>
        <v>246.78477400160691</v>
      </c>
      <c r="C52" s="24">
        <f t="shared" si="1"/>
        <v>365.11759881574972</v>
      </c>
      <c r="D52" s="24">
        <f t="shared" si="2"/>
        <v>495.30954126624721</v>
      </c>
      <c r="E52" s="24">
        <f t="shared" si="3"/>
        <v>625.50148371674481</v>
      </c>
      <c r="F52" s="24">
        <f t="shared" si="4"/>
        <v>755.69342616724248</v>
      </c>
      <c r="G52" s="24">
        <f t="shared" si="5"/>
        <v>885.88536861774003</v>
      </c>
      <c r="H52" s="24">
        <f t="shared" si="6"/>
        <v>1016.0773110682376</v>
      </c>
      <c r="I52" s="24">
        <f t="shared" si="7"/>
        <v>1146.269253518735</v>
      </c>
    </row>
    <row r="53" spans="1:9" x14ac:dyDescent="0.35">
      <c r="A53" s="32">
        <v>2032</v>
      </c>
      <c r="B53" s="24">
        <f t="shared" si="0"/>
        <v>240.7847665694766</v>
      </c>
      <c r="C53" s="24">
        <f t="shared" si="1"/>
        <v>355.88961368130117</v>
      </c>
      <c r="D53" s="24">
        <f t="shared" si="2"/>
        <v>482.50966401802623</v>
      </c>
      <c r="E53" s="24">
        <f t="shared" si="3"/>
        <v>609.1297143547514</v>
      </c>
      <c r="F53" s="24">
        <f t="shared" si="4"/>
        <v>735.74976469147657</v>
      </c>
      <c r="G53" s="24">
        <f t="shared" si="5"/>
        <v>862.36981502820163</v>
      </c>
      <c r="H53" s="24">
        <f t="shared" si="6"/>
        <v>988.98986536492691</v>
      </c>
      <c r="I53" s="24">
        <f t="shared" si="7"/>
        <v>1115.609915701652</v>
      </c>
    </row>
    <row r="54" spans="1:9" x14ac:dyDescent="0.35">
      <c r="A54" s="32">
        <v>2033</v>
      </c>
      <c r="B54" s="24">
        <f t="shared" si="0"/>
        <v>234.9357400077011</v>
      </c>
      <c r="C54" s="24">
        <f t="shared" si="1"/>
        <v>346.90216765365068</v>
      </c>
      <c r="D54" s="24">
        <f t="shared" si="2"/>
        <v>470.04985763097864</v>
      </c>
      <c r="E54" s="24">
        <f t="shared" si="3"/>
        <v>593.19754760830665</v>
      </c>
      <c r="F54" s="24">
        <f t="shared" si="4"/>
        <v>716.34523758563455</v>
      </c>
      <c r="G54" s="24">
        <f t="shared" si="5"/>
        <v>839.49292756296268</v>
      </c>
      <c r="H54" s="24">
        <f t="shared" si="6"/>
        <v>962.64061754029058</v>
      </c>
      <c r="I54" s="24">
        <f t="shared" si="7"/>
        <v>1085.7883075176187</v>
      </c>
    </row>
    <row r="55" spans="1:9" x14ac:dyDescent="0.35">
      <c r="A55" s="32">
        <v>2034</v>
      </c>
      <c r="B55" s="24">
        <f t="shared" si="0"/>
        <v>229.23377395600912</v>
      </c>
      <c r="C55" s="24">
        <f t="shared" si="1"/>
        <v>338.14882384069665</v>
      </c>
      <c r="D55" s="24">
        <f t="shared" si="2"/>
        <v>457.92087944915278</v>
      </c>
      <c r="E55" s="24">
        <f t="shared" si="3"/>
        <v>577.69293505760879</v>
      </c>
      <c r="F55" s="24">
        <f t="shared" si="4"/>
        <v>697.46499066606486</v>
      </c>
      <c r="G55" s="24">
        <f t="shared" si="5"/>
        <v>817.23704627452094</v>
      </c>
      <c r="H55" s="24">
        <f t="shared" si="6"/>
        <v>937.00910188297689</v>
      </c>
      <c r="I55" s="24">
        <f t="shared" si="7"/>
        <v>1056.7811574914329</v>
      </c>
    </row>
    <row r="56" spans="1:9" x14ac:dyDescent="0.35">
      <c r="A56" s="32">
        <v>2035</v>
      </c>
      <c r="B56" s="24">
        <f t="shared" si="0"/>
        <v>223.67505262868653</v>
      </c>
      <c r="C56" s="24">
        <f t="shared" si="1"/>
        <v>329.6233212992434</v>
      </c>
      <c r="D56" s="24">
        <f t="shared" si="2"/>
        <v>446.1137425275794</v>
      </c>
      <c r="E56" s="24">
        <f t="shared" si="3"/>
        <v>562.60416375591547</v>
      </c>
      <c r="F56" s="24">
        <f t="shared" si="4"/>
        <v>679.09458498425136</v>
      </c>
      <c r="G56" s="24">
        <f t="shared" si="5"/>
        <v>795.58500621258736</v>
      </c>
      <c r="H56" s="24">
        <f t="shared" si="6"/>
        <v>912.07542744092348</v>
      </c>
      <c r="I56" s="24">
        <f t="shared" si="7"/>
        <v>1028.5658486692596</v>
      </c>
    </row>
    <row r="57" spans="1:9" x14ac:dyDescent="0.35">
      <c r="A57" s="32">
        <v>2036</v>
      </c>
      <c r="B57" s="24">
        <f t="shared" si="0"/>
        <v>220.60827910216852</v>
      </c>
      <c r="C57" s="24">
        <f t="shared" si="1"/>
        <v>324.61870625341635</v>
      </c>
      <c r="D57" s="24">
        <f t="shared" si="2"/>
        <v>438.94990075873011</v>
      </c>
      <c r="E57" s="24">
        <f t="shared" si="3"/>
        <v>553.28109526404376</v>
      </c>
      <c r="F57" s="24">
        <f t="shared" si="4"/>
        <v>667.6122897693574</v>
      </c>
      <c r="G57" s="24">
        <f t="shared" si="5"/>
        <v>781.94348427467105</v>
      </c>
      <c r="H57" s="24">
        <f t="shared" si="6"/>
        <v>896.27467877998481</v>
      </c>
      <c r="I57" s="24">
        <f t="shared" si="7"/>
        <v>1010.6058732852983</v>
      </c>
    </row>
    <row r="58" spans="1:9" x14ac:dyDescent="0.35">
      <c r="A58" s="32">
        <v>2037</v>
      </c>
      <c r="B58" s="24">
        <f t="shared" si="0"/>
        <v>217.59433196139875</v>
      </c>
      <c r="C58" s="24">
        <f t="shared" si="1"/>
        <v>319.7055740531714</v>
      </c>
      <c r="D58" s="24">
        <f t="shared" si="2"/>
        <v>431.92084738457436</v>
      </c>
      <c r="E58" s="24">
        <f t="shared" si="3"/>
        <v>544.13612071597743</v>
      </c>
      <c r="F58" s="24">
        <f t="shared" si="4"/>
        <v>656.35139404738061</v>
      </c>
      <c r="G58" s="24">
        <f t="shared" si="5"/>
        <v>768.56666737878356</v>
      </c>
      <c r="H58" s="24">
        <f t="shared" si="6"/>
        <v>880.78194071018663</v>
      </c>
      <c r="I58" s="24">
        <f t="shared" si="7"/>
        <v>992.9972140415897</v>
      </c>
    </row>
    <row r="59" spans="1:9" x14ac:dyDescent="0.35">
      <c r="A59" s="32">
        <v>2038</v>
      </c>
      <c r="B59" s="24">
        <f t="shared" si="0"/>
        <v>214.63218404087047</v>
      </c>
      <c r="C59" s="24">
        <f t="shared" si="1"/>
        <v>314.88210021865092</v>
      </c>
      <c r="D59" s="24">
        <f t="shared" si="2"/>
        <v>425.02386298002943</v>
      </c>
      <c r="E59" s="24">
        <f t="shared" si="3"/>
        <v>535.16562574140812</v>
      </c>
      <c r="F59" s="24">
        <f t="shared" si="4"/>
        <v>645.30738850278681</v>
      </c>
      <c r="G59" s="24">
        <f t="shared" si="5"/>
        <v>755.44915126416549</v>
      </c>
      <c r="H59" s="24">
        <f t="shared" si="6"/>
        <v>865.59091402554384</v>
      </c>
      <c r="I59" s="24">
        <f t="shared" si="7"/>
        <v>975.73267678692241</v>
      </c>
    </row>
    <row r="60" spans="1:9" x14ac:dyDescent="0.35">
      <c r="A60" s="32">
        <v>2039</v>
      </c>
      <c r="B60" s="24">
        <f t="shared" si="0"/>
        <v>211.72082916201364</v>
      </c>
      <c r="C60" s="24">
        <f t="shared" si="1"/>
        <v>310.14649789778917</v>
      </c>
      <c r="D60" s="24">
        <f t="shared" si="2"/>
        <v>418.2562844389073</v>
      </c>
      <c r="E60" s="24">
        <f t="shared" si="3"/>
        <v>526.36607098002548</v>
      </c>
      <c r="F60" s="24">
        <f t="shared" si="4"/>
        <v>634.47585752114367</v>
      </c>
      <c r="G60" s="24">
        <f t="shared" si="5"/>
        <v>742.58564406226174</v>
      </c>
      <c r="H60" s="24">
        <f t="shared" si="6"/>
        <v>850.6954306033798</v>
      </c>
      <c r="I60" s="24">
        <f t="shared" si="7"/>
        <v>958.8052171444981</v>
      </c>
    </row>
    <row r="61" spans="1:9" x14ac:dyDescent="0.35">
      <c r="A61" s="32">
        <v>2040</v>
      </c>
      <c r="B61" s="24">
        <f t="shared" si="0"/>
        <v>208.85928169661213</v>
      </c>
      <c r="C61" s="24">
        <f t="shared" si="1"/>
        <v>305.49701708100105</v>
      </c>
      <c r="D61" s="24">
        <f t="shared" si="2"/>
        <v>411.61550379682024</v>
      </c>
      <c r="E61" s="24">
        <f t="shared" si="3"/>
        <v>517.73399051263959</v>
      </c>
      <c r="F61" s="24">
        <f t="shared" si="4"/>
        <v>623.85247722845895</v>
      </c>
      <c r="G61" s="24">
        <f t="shared" si="5"/>
        <v>729.97096394427831</v>
      </c>
      <c r="H61" s="24">
        <f t="shared" si="6"/>
        <v>836.08945066009755</v>
      </c>
      <c r="I61" s="24">
        <f t="shared" si="7"/>
        <v>942.20793737591691</v>
      </c>
    </row>
    <row r="62" spans="1:9" x14ac:dyDescent="0.35">
      <c r="A62" s="32">
        <v>2041</v>
      </c>
      <c r="B62" s="24">
        <f t="shared" si="0"/>
        <v>206.04657613936035</v>
      </c>
      <c r="C62" s="24">
        <f t="shared" si="1"/>
        <v>300.93194383232799</v>
      </c>
      <c r="D62" s="24">
        <f t="shared" si="2"/>
        <v>405.09896707876612</v>
      </c>
      <c r="E62" s="24">
        <f t="shared" si="3"/>
        <v>509.26599032520414</v>
      </c>
      <c r="F62" s="24">
        <f t="shared" si="4"/>
        <v>613.43301357164205</v>
      </c>
      <c r="G62" s="24">
        <f t="shared" si="5"/>
        <v>717.6000368180803</v>
      </c>
      <c r="H62" s="24">
        <f t="shared" si="6"/>
        <v>821.7670600645182</v>
      </c>
      <c r="I62" s="24">
        <f t="shared" si="7"/>
        <v>925.93408331095623</v>
      </c>
    </row>
    <row r="63" spans="1:9" x14ac:dyDescent="0.35">
      <c r="A63" s="32">
        <v>2042</v>
      </c>
      <c r="B63" s="24">
        <f t="shared" si="0"/>
        <v>203.28176668936641</v>
      </c>
      <c r="C63" s="24">
        <f t="shared" si="1"/>
        <v>296.44959953669598</v>
      </c>
      <c r="D63" s="24">
        <f t="shared" si="2"/>
        <v>398.70417317087299</v>
      </c>
      <c r="E63" s="24">
        <f t="shared" si="3"/>
        <v>500.95874680505005</v>
      </c>
      <c r="F63" s="24">
        <f t="shared" si="4"/>
        <v>603.21332043922712</v>
      </c>
      <c r="G63" s="24">
        <f t="shared" si="5"/>
        <v>705.46789407340407</v>
      </c>
      <c r="H63" s="24">
        <f t="shared" si="6"/>
        <v>807.72246770758125</v>
      </c>
      <c r="I63" s="24">
        <f t="shared" si="7"/>
        <v>909.97704134175842</v>
      </c>
    </row>
    <row r="64" spans="1:9" x14ac:dyDescent="0.35">
      <c r="A64" s="32">
        <v>2043</v>
      </c>
      <c r="B64" s="24">
        <f t="shared" si="0"/>
        <v>200.56392684041492</v>
      </c>
      <c r="C64" s="24">
        <f t="shared" si="1"/>
        <v>292.04834016294581</v>
      </c>
      <c r="D64" s="24">
        <f t="shared" si="2"/>
        <v>392.42867271580036</v>
      </c>
      <c r="E64" s="24">
        <f t="shared" si="3"/>
        <v>492.80900526865497</v>
      </c>
      <c r="F64" s="24">
        <f t="shared" si="4"/>
        <v>593.18933782150953</v>
      </c>
      <c r="G64" s="24">
        <f t="shared" si="5"/>
        <v>693.56967037436425</v>
      </c>
      <c r="H64" s="24">
        <f t="shared" si="6"/>
        <v>793.95000292721886</v>
      </c>
      <c r="I64" s="24">
        <f t="shared" si="7"/>
        <v>894.33033548007324</v>
      </c>
    </row>
    <row r="65" spans="1:9" x14ac:dyDescent="0.35">
      <c r="A65" s="32">
        <v>2044</v>
      </c>
      <c r="B65" s="24">
        <f t="shared" si="0"/>
        <v>197.8921489798056</v>
      </c>
      <c r="C65" s="24">
        <f t="shared" si="1"/>
        <v>287.7265555423071</v>
      </c>
      <c r="D65" s="24">
        <f t="shared" si="2"/>
        <v>386.27006703129553</v>
      </c>
      <c r="E65" s="24">
        <f t="shared" si="3"/>
        <v>484.81357852028395</v>
      </c>
      <c r="F65" s="24">
        <f t="shared" si="4"/>
        <v>583.35709000927238</v>
      </c>
      <c r="G65" s="24">
        <f t="shared" si="5"/>
        <v>681.90060149826081</v>
      </c>
      <c r="H65" s="24">
        <f t="shared" si="6"/>
        <v>780.44411298724924</v>
      </c>
      <c r="I65" s="24">
        <f t="shared" si="7"/>
        <v>878.98762447623767</v>
      </c>
    </row>
    <row r="66" spans="1:9" x14ac:dyDescent="0.35">
      <c r="A66" s="32">
        <v>2045</v>
      </c>
      <c r="B66" s="24">
        <f t="shared" si="0"/>
        <v>195.26554399558748</v>
      </c>
      <c r="C66" s="24">
        <f t="shared" si="1"/>
        <v>283.48266866199009</v>
      </c>
      <c r="D66" s="24">
        <f t="shared" si="2"/>
        <v>380.22600705142332</v>
      </c>
      <c r="E66" s="24">
        <f t="shared" si="3"/>
        <v>476.96934544085661</v>
      </c>
      <c r="F66" s="24">
        <f t="shared" si="4"/>
        <v>573.71268383028973</v>
      </c>
      <c r="G66" s="24">
        <f t="shared" si="5"/>
        <v>670.45602221972308</v>
      </c>
      <c r="H66" s="24">
        <f t="shared" si="6"/>
        <v>767.1993606091562</v>
      </c>
      <c r="I66" s="24">
        <f t="shared" si="7"/>
        <v>863.94269899858966</v>
      </c>
    </row>
    <row r="67" spans="1:9" x14ac:dyDescent="0.35">
      <c r="A67" s="32">
        <v>2046</v>
      </c>
      <c r="B67" s="24">
        <f t="shared" si="0"/>
        <v>192.68324089201295</v>
      </c>
      <c r="C67" s="24">
        <f t="shared" si="1"/>
        <v>279.31513497357844</v>
      </c>
      <c r="D67" s="24">
        <f t="shared" si="2"/>
        <v>374.29419228999097</v>
      </c>
      <c r="E67" s="24">
        <f t="shared" si="3"/>
        <v>469.27324960640368</v>
      </c>
      <c r="F67" s="24">
        <f t="shared" si="4"/>
        <v>564.25230692281616</v>
      </c>
      <c r="G67" s="24">
        <f t="shared" si="5"/>
        <v>659.23136423922892</v>
      </c>
      <c r="H67" s="24">
        <f t="shared" si="6"/>
        <v>754.21042155564135</v>
      </c>
      <c r="I67" s="24">
        <f t="shared" si="7"/>
        <v>849.189478872054</v>
      </c>
    </row>
    <row r="68" spans="1:9" x14ac:dyDescent="0.35">
      <c r="A68" s="32">
        <v>2047</v>
      </c>
      <c r="B68" s="24">
        <f t="shared" si="0"/>
        <v>190.14438641303911</v>
      </c>
      <c r="C68" s="24">
        <f t="shared" si="1"/>
        <v>275.22244171591382</v>
      </c>
      <c r="D68" s="24">
        <f t="shared" si="2"/>
        <v>368.47236982570382</v>
      </c>
      <c r="E68" s="24">
        <f t="shared" si="3"/>
        <v>461.72229793549366</v>
      </c>
      <c r="F68" s="24">
        <f t="shared" si="4"/>
        <v>554.97222604528372</v>
      </c>
      <c r="G68" s="24">
        <f t="shared" si="5"/>
        <v>648.22215415507355</v>
      </c>
      <c r="H68" s="24">
        <f t="shared" si="6"/>
        <v>741.4720822648635</v>
      </c>
      <c r="I68" s="24">
        <f t="shared" si="7"/>
        <v>834.72201037465334</v>
      </c>
    </row>
    <row r="69" spans="1:9" x14ac:dyDescent="0.35">
      <c r="A69" s="32">
        <v>2048</v>
      </c>
      <c r="B69" s="24">
        <f t="shared" si="0"/>
        <v>187.64814467370749</v>
      </c>
      <c r="C69" s="24">
        <f t="shared" si="1"/>
        <v>271.20310725216495</v>
      </c>
      <c r="D69" s="24">
        <f t="shared" si="2"/>
        <v>362.75833330859246</v>
      </c>
      <c r="E69" s="24">
        <f t="shared" si="3"/>
        <v>454.31355936502007</v>
      </c>
      <c r="F69" s="24">
        <f t="shared" si="4"/>
        <v>545.86878542144746</v>
      </c>
      <c r="G69" s="24">
        <f t="shared" si="5"/>
        <v>637.42401147787496</v>
      </c>
      <c r="H69" s="24">
        <f t="shared" si="6"/>
        <v>728.97923753430257</v>
      </c>
      <c r="I69" s="24">
        <f t="shared" si="7"/>
        <v>820.53446359073007</v>
      </c>
    </row>
    <row r="70" spans="1:9" x14ac:dyDescent="0.35">
      <c r="A70" s="32">
        <v>2049</v>
      </c>
      <c r="B70" s="24">
        <f t="shared" si="0"/>
        <v>185.19369679923693</v>
      </c>
      <c r="C70" s="24">
        <f t="shared" si="1"/>
        <v>267.25568042078766</v>
      </c>
      <c r="D70" s="24">
        <f t="shared" si="2"/>
        <v>357.14992198727106</v>
      </c>
      <c r="E70" s="24">
        <f t="shared" si="3"/>
        <v>447.0441635537544</v>
      </c>
      <c r="F70" s="24">
        <f t="shared" si="4"/>
        <v>536.93840512023792</v>
      </c>
      <c r="G70" s="24">
        <f t="shared" si="5"/>
        <v>626.8326466867212</v>
      </c>
      <c r="H70" s="24">
        <f t="shared" si="6"/>
        <v>716.72688825320461</v>
      </c>
      <c r="I70" s="24">
        <f t="shared" si="7"/>
        <v>806.62112981968801</v>
      </c>
    </row>
    <row r="71" spans="1:9" x14ac:dyDescent="0.35">
      <c r="A71" s="32">
        <v>2050</v>
      </c>
      <c r="B71" s="24">
        <f t="shared" si="0"/>
        <v>182.78024057166812</v>
      </c>
      <c r="C71" s="24">
        <f t="shared" si="1"/>
        <v>263.37873990008075</v>
      </c>
      <c r="D71" s="24">
        <f t="shared" si="2"/>
        <v>351.64501975658249</v>
      </c>
      <c r="E71" s="24">
        <f t="shared" si="3"/>
        <v>439.91129961308417</v>
      </c>
      <c r="F71" s="24">
        <f t="shared" si="4"/>
        <v>528.17757946958579</v>
      </c>
      <c r="G71" s="24">
        <f t="shared" si="5"/>
        <v>616.44385932608759</v>
      </c>
      <c r="H71" s="24">
        <f t="shared" si="6"/>
        <v>704.71013918258905</v>
      </c>
      <c r="I71" s="24">
        <f t="shared" si="7"/>
        <v>792.97641903909073</v>
      </c>
    </row>
    <row r="73" spans="1:9" ht="30" customHeight="1" x14ac:dyDescent="0.35">
      <c r="A73" s="15" t="s">
        <v>204</v>
      </c>
    </row>
  </sheetData>
  <pageMargins left="0.75" right="0.75" top="1" bottom="1" header="0.511811023622047" footer="0.511811023622047"/>
  <pageSetup paperSize="9"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showGridLines="0" tabSelected="1" topLeftCell="O15" zoomScale="228" zoomScaleNormal="228" workbookViewId="0"/>
  </sheetViews>
  <sheetFormatPr baseColWidth="10" defaultColWidth="8.6328125" defaultRowHeight="14.5" x14ac:dyDescent="0.35"/>
  <cols>
    <col min="1" max="1" width="16" customWidth="1"/>
    <col min="2" max="8" width="11" customWidth="1"/>
  </cols>
  <sheetData>
    <row r="1" spans="1:8" ht="18" x14ac:dyDescent="0.4">
      <c r="A1" s="1" t="s">
        <v>205</v>
      </c>
    </row>
    <row r="2" spans="1:8" x14ac:dyDescent="0.35">
      <c r="A2" s="2" t="s">
        <v>206</v>
      </c>
    </row>
    <row r="4" spans="1:8" x14ac:dyDescent="0.35">
      <c r="A4" s="3" t="s">
        <v>183</v>
      </c>
      <c r="C4" s="34" t="s">
        <v>184</v>
      </c>
    </row>
    <row r="5" spans="1:8" x14ac:dyDescent="0.35">
      <c r="A5" t="s">
        <v>193</v>
      </c>
      <c r="C5" s="32">
        <f>MATCH($C$4,{"Bajo","Medio","Alto"},0)</f>
        <v>2</v>
      </c>
    </row>
    <row r="6" spans="1:8" x14ac:dyDescent="0.35">
      <c r="A6" s="3" t="s">
        <v>207</v>
      </c>
      <c r="C6" s="9">
        <v>10</v>
      </c>
    </row>
    <row r="8" spans="1:8" x14ac:dyDescent="0.35">
      <c r="A8" s="3" t="s">
        <v>208</v>
      </c>
    </row>
    <row r="9" spans="1:8" ht="33.75" customHeight="1" x14ac:dyDescent="0.35">
      <c r="A9" s="5" t="s">
        <v>167</v>
      </c>
      <c r="B9" s="5" t="s">
        <v>209</v>
      </c>
      <c r="C9" s="5" t="s">
        <v>210</v>
      </c>
      <c r="D9" s="5" t="s">
        <v>211</v>
      </c>
      <c r="E9" s="5" t="s">
        <v>212</v>
      </c>
      <c r="F9" s="5" t="s">
        <v>213</v>
      </c>
      <c r="G9" s="5" t="s">
        <v>214</v>
      </c>
      <c r="H9" s="5" t="s">
        <v>215</v>
      </c>
    </row>
    <row r="10" spans="1:8" x14ac:dyDescent="0.35">
      <c r="A10" s="32">
        <v>2026</v>
      </c>
      <c r="B10" s="24">
        <f>(Parametros_PV!$C$16*(1/8)^Parametros_PV!$C$33*IF(1&lt;$C$6,INDEX(Trayectorias!$H$15:$J$39,MATCH($A10,Trayectorias!$A$15:$A$39,0),$C$5),INDEX(Trayectorias!$E$15:$G$39,MATCH($A10,Trayectorias!$A$15:$A$39,0),$C$5))+Parametros_PV!$C$17*(1/8)^Parametros_PV!$C$34*INDEX(Trayectorias!$K$15:$M$39,MATCH($A10,Trayectorias!$A$15:$A$39,0),$C$5)+Parametros_PV!$C$18*INDEX(Trayectorias!$K$15:$M$39,MATCH($A10,Trayectorias!$A$15:$A$39,0),$C$5))*Parametros_PV!$C$20</f>
        <v>945.62480810929094</v>
      </c>
      <c r="C10" s="24">
        <f>(Parametros_PV!$C$16*(5/8)^Parametros_PV!$C$33*IF(5&lt;$C$6,INDEX(Trayectorias!$H$15:$J$39,MATCH($A10,Trayectorias!$A$15:$A$39,0),$C$5),INDEX(Trayectorias!$E$15:$G$39,MATCH($A10,Trayectorias!$A$15:$A$39,0),$C$5))+Parametros_PV!$C$17*(5/8)^Parametros_PV!$C$34*INDEX(Trayectorias!$K$15:$M$39,MATCH($A10,Trayectorias!$A$15:$A$39,0),$C$5)+Parametros_PV!$C$18*INDEX(Trayectorias!$K$15:$M$39,MATCH($A10,Trayectorias!$A$15:$A$39,0),$C$5))*Parametros_PV!$C$20</f>
        <v>841.05064478745419</v>
      </c>
      <c r="D10" s="24">
        <f>(Parametros_PV!$C$16*(10/8)^Parametros_PV!$C$33*IF(10&lt;$C$6,INDEX(Trayectorias!$H$15:$J$39,MATCH($A10,Trayectorias!$A$15:$A$39,0),$C$5),INDEX(Trayectorias!$E$15:$G$39,MATCH($A10,Trayectorias!$A$15:$A$39,0),$C$5))+Parametros_PV!$C$17*(10/8)^Parametros_PV!$C$34*INDEX(Trayectorias!$K$15:$M$39,MATCH($A10,Trayectorias!$A$15:$A$39,0),$C$5)+Parametros_PV!$C$18*INDEX(Trayectorias!$K$15:$M$39,MATCH($A10,Trayectorias!$A$15:$A$39,0),$C$5))*Parametros_PV!$C$20</f>
        <v>800.04902066863269</v>
      </c>
      <c r="E10" s="24">
        <f>(Parametros_PV!$C$16*(20/8)^Parametros_PV!$C$33*IF(20&lt;$C$6,INDEX(Trayectorias!$H$15:$J$39,MATCH($A10,Trayectorias!$A$15:$A$39,0),$C$5),INDEX(Trayectorias!$E$15:$G$39,MATCH($A10,Trayectorias!$A$15:$A$39,0),$C$5))+Parametros_PV!$C$17*(20/8)^Parametros_PV!$C$34*INDEX(Trayectorias!$K$15:$M$39,MATCH($A10,Trayectorias!$A$15:$A$39,0),$C$5)+Parametros_PV!$C$18*INDEX(Trayectorias!$K$15:$M$39,MATCH($A10,Trayectorias!$A$15:$A$39,0),$C$5))*Parametros_PV!$C$20</f>
        <v>761.2818250966817</v>
      </c>
      <c r="F10" s="24">
        <f>(Parametros_PV!$C$16*(50/8)^Parametros_PV!$C$33*IF(50&lt;$C$6,INDEX(Trayectorias!$H$15:$J$39,MATCH($A10,Trayectorias!$A$15:$A$39,0),$C$5),INDEX(Trayectorias!$E$15:$G$39,MATCH($A10,Trayectorias!$A$15:$A$39,0),$C$5))+Parametros_PV!$C$17*(50/8)^Parametros_PV!$C$34*INDEX(Trayectorias!$K$15:$M$39,MATCH($A10,Trayectorias!$A$15:$A$39,0),$C$5)+Parametros_PV!$C$18*INDEX(Trayectorias!$K$15:$M$39,MATCH($A10,Trayectorias!$A$15:$A$39,0),$C$5))*Parametros_PV!$C$20</f>
        <v>713.25153332608284</v>
      </c>
      <c r="G10" s="24">
        <f>(Parametros_PV!$C$16*(100/8)^Parametros_PV!$C$33*IF(100&lt;$C$6,INDEX(Trayectorias!$H$15:$J$39,MATCH($A10,Trayectorias!$A$15:$A$39,0),$C$5),INDEX(Trayectorias!$E$15:$G$39,MATCH($A10,Trayectorias!$A$15:$A$39,0),$C$5))+Parametros_PV!$C$17*(100/8)^Parametros_PV!$C$34*INDEX(Trayectorias!$K$15:$M$39,MATCH($A10,Trayectorias!$A$15:$A$39,0),$C$5)+Parametros_PV!$C$18*INDEX(Trayectorias!$K$15:$M$39,MATCH($A10,Trayectorias!$A$15:$A$39,0),$C$5))*Parametros_PV!$C$20</f>
        <v>679.20121469663877</v>
      </c>
      <c r="H10" s="24">
        <f>(Parametros_PV!$C$16*(200/8)^Parametros_PV!$C$33*IF(200&lt;$C$6,INDEX(Trayectorias!$H$15:$J$39,MATCH($A10,Trayectorias!$A$15:$A$39,0),$C$5),INDEX(Trayectorias!$E$15:$G$39,MATCH($A10,Trayectorias!$A$15:$A$39,0),$C$5))+Parametros_PV!$C$17*(200/8)^Parametros_PV!$C$34*INDEX(Trayectorias!$K$15:$M$39,MATCH($A10,Trayectorias!$A$15:$A$39,0),$C$5)+Parametros_PV!$C$18*INDEX(Trayectorias!$K$15:$M$39,MATCH($A10,Trayectorias!$A$15:$A$39,0),$C$5))*Parametros_PV!$C$20</f>
        <v>646.99592454192964</v>
      </c>
    </row>
    <row r="11" spans="1:8" x14ac:dyDescent="0.35">
      <c r="A11" s="32">
        <v>2027</v>
      </c>
      <c r="B11" s="24">
        <f>(Parametros_PV!$C$16*(1/8)^Parametros_PV!$C$33*IF(1&lt;$C$6,INDEX(Trayectorias!$H$15:$J$39,MATCH($A11,Trayectorias!$A$15:$A$39,0),$C$5),INDEX(Trayectorias!$E$15:$G$39,MATCH($A11,Trayectorias!$A$15:$A$39,0),$C$5))+Parametros_PV!$C$17*(1/8)^Parametros_PV!$C$34*INDEX(Trayectorias!$K$15:$M$39,MATCH($A11,Trayectorias!$A$15:$A$39,0),$C$5)+Parametros_PV!$C$18*INDEX(Trayectorias!$K$15:$M$39,MATCH($A11,Trayectorias!$A$15:$A$39,0),$C$5))*Parametros_PV!$C$20</f>
        <v>909.12145745650355</v>
      </c>
      <c r="C11" s="24">
        <f>(Parametros_PV!$C$16*(5/8)^Parametros_PV!$C$33*IF(5&lt;$C$6,INDEX(Trayectorias!$H$15:$J$39,MATCH($A11,Trayectorias!$A$15:$A$39,0),$C$5),INDEX(Trayectorias!$E$15:$G$39,MATCH($A11,Trayectorias!$A$15:$A$39,0),$C$5))+Parametros_PV!$C$17*(5/8)^Parametros_PV!$C$34*INDEX(Trayectorias!$K$15:$M$39,MATCH($A11,Trayectorias!$A$15:$A$39,0),$C$5)+Parametros_PV!$C$18*INDEX(Trayectorias!$K$15:$M$39,MATCH($A11,Trayectorias!$A$15:$A$39,0),$C$5))*Parametros_PV!$C$20</f>
        <v>809.02792117613285</v>
      </c>
      <c r="D11" s="24">
        <f>(Parametros_PV!$C$16*(10/8)^Parametros_PV!$C$33*IF(10&lt;$C$6,INDEX(Trayectorias!$H$15:$J$39,MATCH($A11,Trayectorias!$A$15:$A$39,0),$C$5),INDEX(Trayectorias!$E$15:$G$39,MATCH($A11,Trayectorias!$A$15:$A$39,0),$C$5))+Parametros_PV!$C$17*(10/8)^Parametros_PV!$C$34*INDEX(Trayectorias!$K$15:$M$39,MATCH($A11,Trayectorias!$A$15:$A$39,0),$C$5)+Parametros_PV!$C$18*INDEX(Trayectorias!$K$15:$M$39,MATCH($A11,Trayectorias!$A$15:$A$39,0),$C$5))*Parametros_PV!$C$20</f>
        <v>758.66018158336931</v>
      </c>
      <c r="E11" s="24">
        <f>(Parametros_PV!$C$16*(20/8)^Parametros_PV!$C$33*IF(20&lt;$C$6,INDEX(Trayectorias!$H$15:$J$39,MATCH($A11,Trayectorias!$A$15:$A$39,0),$C$5),INDEX(Trayectorias!$E$15:$G$39,MATCH($A11,Trayectorias!$A$15:$A$39,0),$C$5))+Parametros_PV!$C$17*(20/8)^Parametros_PV!$C$34*INDEX(Trayectorias!$K$15:$M$39,MATCH($A11,Trayectorias!$A$15:$A$39,0),$C$5)+Parametros_PV!$C$18*INDEX(Trayectorias!$K$15:$M$39,MATCH($A11,Trayectorias!$A$15:$A$39,0),$C$5))*Parametros_PV!$C$20</f>
        <v>722.21462873119208</v>
      </c>
      <c r="F11" s="24">
        <f>(Parametros_PV!$C$16*(50/8)^Parametros_PV!$C$33*IF(50&lt;$C$6,INDEX(Trayectorias!$H$15:$J$39,MATCH($A11,Trayectorias!$A$15:$A$39,0),$C$5),INDEX(Trayectorias!$E$15:$G$39,MATCH($A11,Trayectorias!$A$15:$A$39,0),$C$5))+Parametros_PV!$C$17*(50/8)^Parametros_PV!$C$34*INDEX(Trayectorias!$K$15:$M$39,MATCH($A11,Trayectorias!$A$15:$A$39,0),$C$5)+Parametros_PV!$C$18*INDEX(Trayectorias!$K$15:$M$39,MATCH($A11,Trayectorias!$A$15:$A$39,0),$C$5))*Parametros_PV!$C$20</f>
        <v>677.04550706680868</v>
      </c>
      <c r="G11" s="24">
        <f>(Parametros_PV!$C$16*(100/8)^Parametros_PV!$C$33*IF(100&lt;$C$6,INDEX(Trayectorias!$H$15:$J$39,MATCH($A11,Trayectorias!$A$15:$A$39,0),$C$5),INDEX(Trayectorias!$E$15:$G$39,MATCH($A11,Trayectorias!$A$15:$A$39,0),$C$5))+Parametros_PV!$C$17*(100/8)^Parametros_PV!$C$34*INDEX(Trayectorias!$K$15:$M$39,MATCH($A11,Trayectorias!$A$15:$A$39,0),$C$5)+Parametros_PV!$C$18*INDEX(Trayectorias!$K$15:$M$39,MATCH($A11,Trayectorias!$A$15:$A$39,0),$C$5))*Parametros_PV!$C$20</f>
        <v>645.01263364970509</v>
      </c>
      <c r="H11" s="24">
        <f>(Parametros_PV!$C$16*(200/8)^Parametros_PV!$C$33*IF(200&lt;$C$6,INDEX(Trayectorias!$H$15:$J$39,MATCH($A11,Trayectorias!$A$15:$A$39,0),$C$5),INDEX(Trayectorias!$E$15:$G$39,MATCH($A11,Trayectorias!$A$15:$A$39,0),$C$5))+Parametros_PV!$C$17*(200/8)^Parametros_PV!$C$34*INDEX(Trayectorias!$K$15:$M$39,MATCH($A11,Trayectorias!$A$15:$A$39,0),$C$5)+Parametros_PV!$C$18*INDEX(Trayectorias!$K$15:$M$39,MATCH($A11,Trayectorias!$A$15:$A$39,0),$C$5))*Parametros_PV!$C$20</f>
        <v>614.70651914975974</v>
      </c>
    </row>
    <row r="12" spans="1:8" x14ac:dyDescent="0.35">
      <c r="A12" s="32">
        <v>2028</v>
      </c>
      <c r="B12" s="24">
        <f>(Parametros_PV!$C$16*(1/8)^Parametros_PV!$C$33*IF(1&lt;$C$6,INDEX(Trayectorias!$H$15:$J$39,MATCH($A12,Trayectorias!$A$15:$A$39,0),$C$5),INDEX(Trayectorias!$E$15:$G$39,MATCH($A12,Trayectorias!$A$15:$A$39,0),$C$5))+Parametros_PV!$C$17*(1/8)^Parametros_PV!$C$34*INDEX(Trayectorias!$K$15:$M$39,MATCH($A12,Trayectorias!$A$15:$A$39,0),$C$5)+Parametros_PV!$C$18*INDEX(Trayectorias!$K$15:$M$39,MATCH($A12,Trayectorias!$A$15:$A$39,0),$C$5))*Parametros_PV!$C$20</f>
        <v>874.28361912288858</v>
      </c>
      <c r="C12" s="24">
        <f>(Parametros_PV!$C$16*(5/8)^Parametros_PV!$C$33*IF(5&lt;$C$6,INDEX(Trayectorias!$H$15:$J$39,MATCH($A12,Trayectorias!$A$15:$A$39,0),$C$5),INDEX(Trayectorias!$E$15:$G$39,MATCH($A12,Trayectorias!$A$15:$A$39,0),$C$5))+Parametros_PV!$C$17*(5/8)^Parametros_PV!$C$34*INDEX(Trayectorias!$K$15:$M$39,MATCH($A12,Trayectorias!$A$15:$A$39,0),$C$5)+Parametros_PV!$C$18*INDEX(Trayectorias!$K$15:$M$39,MATCH($A12,Trayectorias!$A$15:$A$39,0),$C$5))*Parametros_PV!$C$20</f>
        <v>778.45412658259727</v>
      </c>
      <c r="D12" s="24">
        <f>(Parametros_PV!$C$16*(10/8)^Parametros_PV!$C$33*IF(10&lt;$C$6,INDEX(Trayectorias!$H$15:$J$39,MATCH($A12,Trayectorias!$A$15:$A$39,0),$C$5),INDEX(Trayectorias!$E$15:$G$39,MATCH($A12,Trayectorias!$A$15:$A$39,0),$C$5))+Parametros_PV!$C$17*(10/8)^Parametros_PV!$C$34*INDEX(Trayectorias!$K$15:$M$39,MATCH($A12,Trayectorias!$A$15:$A$39,0),$C$5)+Parametros_PV!$C$18*INDEX(Trayectorias!$K$15:$M$39,MATCH($A12,Trayectorias!$A$15:$A$39,0),$C$5))*Parametros_PV!$C$20</f>
        <v>720.10184804553035</v>
      </c>
      <c r="E12" s="24">
        <f>(Parametros_PV!$C$16*(20/8)^Parametros_PV!$C$33*IF(20&lt;$C$6,INDEX(Trayectorias!$H$15:$J$39,MATCH($A12,Trayectorias!$A$15:$A$39,0),$C$5),INDEX(Trayectorias!$E$15:$G$39,MATCH($A12,Trayectorias!$A$15:$A$39,0),$C$5))+Parametros_PV!$C$17*(20/8)^Parametros_PV!$C$34*INDEX(Trayectorias!$K$15:$M$39,MATCH($A12,Trayectorias!$A$15:$A$39,0),$C$5)+Parametros_PV!$C$18*INDEX(Trayectorias!$K$15:$M$39,MATCH($A12,Trayectorias!$A$15:$A$39,0),$C$5))*Parametros_PV!$C$20</f>
        <v>685.80958339140534</v>
      </c>
      <c r="F12" s="24">
        <f>(Parametros_PV!$C$16*(50/8)^Parametros_PV!$C$33*IF(50&lt;$C$6,INDEX(Trayectorias!$H$15:$J$39,MATCH($A12,Trayectorias!$A$15:$A$39,0),$C$5),INDEX(Trayectorias!$E$15:$G$39,MATCH($A12,Trayectorias!$A$15:$A$39,0),$C$5))+Parametros_PV!$C$17*(50/8)^Parametros_PV!$C$34*INDEX(Trayectorias!$K$15:$M$39,MATCH($A12,Trayectorias!$A$15:$A$39,0),$C$5)+Parametros_PV!$C$18*INDEX(Trayectorias!$K$15:$M$39,MATCH($A12,Trayectorias!$A$15:$A$39,0),$C$5))*Parametros_PV!$C$20</f>
        <v>643.29455160488544</v>
      </c>
      <c r="G12" s="24">
        <f>(Parametros_PV!$C$16*(100/8)^Parametros_PV!$C$33*IF(100&lt;$C$6,INDEX(Trayectorias!$H$15:$J$39,MATCH($A12,Trayectorias!$A$15:$A$39,0),$C$5),INDEX(Trayectorias!$E$15:$G$39,MATCH($A12,Trayectorias!$A$15:$A$39,0),$C$5))+Parametros_PV!$C$17*(100/8)^Parametros_PV!$C$34*INDEX(Trayectorias!$K$15:$M$39,MATCH($A12,Trayectorias!$A$15:$A$39,0),$C$5)+Parametros_PV!$C$18*INDEX(Trayectorias!$K$15:$M$39,MATCH($A12,Trayectorias!$A$15:$A$39,0),$C$5))*Parametros_PV!$C$20</f>
        <v>613.13339654331367</v>
      </c>
      <c r="H12" s="24">
        <f>(Parametros_PV!$C$16*(200/8)^Parametros_PV!$C$33*IF(200&lt;$C$6,INDEX(Trayectorias!$H$15:$J$39,MATCH($A12,Trayectorias!$A$15:$A$39,0),$C$5),INDEX(Trayectorias!$E$15:$G$39,MATCH($A12,Trayectorias!$A$15:$A$39,0),$C$5))+Parametros_PV!$C$17*(200/8)^Parametros_PV!$C$34*INDEX(Trayectorias!$K$15:$M$39,MATCH($A12,Trayectorias!$A$15:$A$39,0),$C$5)+Parametros_PV!$C$18*INDEX(Trayectorias!$K$15:$M$39,MATCH($A12,Trayectorias!$A$15:$A$39,0),$C$5))*Parametros_PV!$C$20</f>
        <v>584.58951082060423</v>
      </c>
    </row>
    <row r="13" spans="1:8" x14ac:dyDescent="0.35">
      <c r="A13" s="32">
        <v>2029</v>
      </c>
      <c r="B13" s="24">
        <f>(Parametros_PV!$C$16*(1/8)^Parametros_PV!$C$33*IF(1&lt;$C$6,INDEX(Trayectorias!$H$15:$J$39,MATCH($A13,Trayectorias!$A$15:$A$39,0),$C$5),INDEX(Trayectorias!$E$15:$G$39,MATCH($A13,Trayectorias!$A$15:$A$39,0),$C$5))+Parametros_PV!$C$17*(1/8)^Parametros_PV!$C$34*INDEX(Trayectorias!$K$15:$M$39,MATCH($A13,Trayectorias!$A$15:$A$39,0),$C$5)+Parametros_PV!$C$18*INDEX(Trayectorias!$K$15:$M$39,MATCH($A13,Trayectorias!$A$15:$A$39,0),$C$5))*Parametros_PV!$C$20</f>
        <v>841.028283434748</v>
      </c>
      <c r="C13" s="24">
        <f>(Parametros_PV!$C$16*(5/8)^Parametros_PV!$C$33*IF(5&lt;$C$6,INDEX(Trayectorias!$H$15:$J$39,MATCH($A13,Trayectorias!$A$15:$A$39,0),$C$5),INDEX(Trayectorias!$E$15:$G$39,MATCH($A13,Trayectorias!$A$15:$A$39,0),$C$5))+Parametros_PV!$C$17*(5/8)^Parametros_PV!$C$34*INDEX(Trayectorias!$K$15:$M$39,MATCH($A13,Trayectorias!$A$15:$A$39,0),$C$5)+Parametros_PV!$C$18*INDEX(Trayectorias!$K$15:$M$39,MATCH($A13,Trayectorias!$A$15:$A$39,0),$C$5))*Parametros_PV!$C$20</f>
        <v>749.25732728036246</v>
      </c>
      <c r="D13" s="24">
        <f>(Parametros_PV!$C$16*(10/8)^Parametros_PV!$C$33*IF(10&lt;$C$6,INDEX(Trayectorias!$H$15:$J$39,MATCH($A13,Trayectorias!$A$15:$A$39,0),$C$5),INDEX(Trayectorias!$E$15:$G$39,MATCH($A13,Trayectorias!$A$15:$A$39,0),$C$5))+Parametros_PV!$C$17*(10/8)^Parametros_PV!$C$34*INDEX(Trayectorias!$K$15:$M$39,MATCH($A13,Trayectorias!$A$15:$A$39,0),$C$5)+Parametros_PV!$C$18*INDEX(Trayectorias!$K$15:$M$39,MATCH($A13,Trayectorias!$A$15:$A$39,0),$C$5))*Parametros_PV!$C$20</f>
        <v>684.15955182393179</v>
      </c>
      <c r="E13" s="24">
        <f>(Parametros_PV!$C$16*(20/8)^Parametros_PV!$C$33*IF(20&lt;$C$6,INDEX(Trayectorias!$H$15:$J$39,MATCH($A13,Trayectorias!$A$15:$A$39,0),$C$5),INDEX(Trayectorias!$E$15:$G$39,MATCH($A13,Trayectorias!$A$15:$A$39,0),$C$5))+Parametros_PV!$C$17*(20/8)^Parametros_PV!$C$34*INDEX(Trayectorias!$K$15:$M$39,MATCH($A13,Trayectorias!$A$15:$A$39,0),$C$5)+Parametros_PV!$C$18*INDEX(Trayectorias!$K$15:$M$39,MATCH($A13,Trayectorias!$A$15:$A$39,0),$C$5))*Parametros_PV!$C$20</f>
        <v>651.86519682304959</v>
      </c>
      <c r="F13" s="24">
        <f>(Parametros_PV!$C$16*(50/8)^Parametros_PV!$C$33*IF(50&lt;$C$6,INDEX(Trayectorias!$H$15:$J$39,MATCH($A13,Trayectorias!$A$15:$A$39,0),$C$5),INDEX(Trayectorias!$E$15:$G$39,MATCH($A13,Trayectorias!$A$15:$A$39,0),$C$5))+Parametros_PV!$C$17*(50/8)^Parametros_PV!$C$34*INDEX(Trayectorias!$K$15:$M$39,MATCH($A13,Trayectorias!$A$15:$A$39,0),$C$5)+Parametros_PV!$C$18*INDEX(Trayectorias!$K$15:$M$39,MATCH($A13,Trayectorias!$A$15:$A$39,0),$C$5))*Parametros_PV!$C$20</f>
        <v>611.81312684651243</v>
      </c>
      <c r="G13" s="24">
        <f>(Parametros_PV!$C$16*(100/8)^Parametros_PV!$C$33*IF(100&lt;$C$6,INDEX(Trayectorias!$H$15:$J$39,MATCH($A13,Trayectorias!$A$15:$A$39,0),$C$5),INDEX(Trayectorias!$E$15:$G$39,MATCH($A13,Trayectorias!$A$15:$A$39,0),$C$5))+Parametros_PV!$C$17*(100/8)^Parametros_PV!$C$34*INDEX(Trayectorias!$K$15:$M$39,MATCH($A13,Trayectorias!$A$15:$A$39,0),$C$5)+Parametros_PV!$C$18*INDEX(Trayectorias!$K$15:$M$39,MATCH($A13,Trayectorias!$A$15:$A$39,0),$C$5))*Parametros_PV!$C$20</f>
        <v>583.38918292824428</v>
      </c>
      <c r="H13" s="24">
        <f>(Parametros_PV!$C$16*(200/8)^Parametros_PV!$C$33*IF(200&lt;$C$6,INDEX(Trayectorias!$H$15:$J$39,MATCH($A13,Trayectorias!$A$15:$A$39,0),$C$5),INDEX(Trayectorias!$E$15:$G$39,MATCH($A13,Trayectorias!$A$15:$A$39,0),$C$5))+Parametros_PV!$C$17*(200/8)^Parametros_PV!$C$34*INDEX(Trayectorias!$K$15:$M$39,MATCH($A13,Trayectorias!$A$15:$A$39,0),$C$5)+Parametros_PV!$C$18*INDEX(Trayectorias!$K$15:$M$39,MATCH($A13,Trayectorias!$A$15:$A$39,0),$C$5))*Parametros_PV!$C$20</f>
        <v>556.48111762672738</v>
      </c>
    </row>
    <row r="14" spans="1:8" x14ac:dyDescent="0.35">
      <c r="A14" s="32">
        <v>2030</v>
      </c>
      <c r="B14" s="24">
        <f>(Parametros_PV!$C$16*(1/8)^Parametros_PV!$C$33*IF(1&lt;$C$6,INDEX(Trayectorias!$H$15:$J$39,MATCH($A14,Trayectorias!$A$15:$A$39,0),$C$5),INDEX(Trayectorias!$E$15:$G$39,MATCH($A14,Trayectorias!$A$15:$A$39,0),$C$5))+Parametros_PV!$C$17*(1/8)^Parametros_PV!$C$34*INDEX(Trayectorias!$K$15:$M$39,MATCH($A14,Trayectorias!$A$15:$A$39,0),$C$5)+Parametros_PV!$C$18*INDEX(Trayectorias!$K$15:$M$39,MATCH($A14,Trayectorias!$A$15:$A$39,0),$C$5))*Parametros_PV!$C$20</f>
        <v>809.27674049435052</v>
      </c>
      <c r="C14" s="24">
        <f>(Parametros_PV!$C$16*(5/8)^Parametros_PV!$C$33*IF(5&lt;$C$6,INDEX(Trayectorias!$H$15:$J$39,MATCH($A14,Trayectorias!$A$15:$A$39,0),$C$5),INDEX(Trayectorias!$E$15:$G$39,MATCH($A14,Trayectorias!$A$15:$A$39,0),$C$5))+Parametros_PV!$C$17*(5/8)^Parametros_PV!$C$34*INDEX(Trayectorias!$K$15:$M$39,MATCH($A14,Trayectorias!$A$15:$A$39,0),$C$5)+Parametros_PV!$C$18*INDEX(Trayectorias!$K$15:$M$39,MATCH($A14,Trayectorias!$A$15:$A$39,0),$C$5))*Parametros_PV!$C$20</f>
        <v>721.36930963617192</v>
      </c>
      <c r="D14" s="24">
        <f>(Parametros_PV!$C$16*(10/8)^Parametros_PV!$C$33*IF(10&lt;$C$6,INDEX(Trayectorias!$H$15:$J$39,MATCH($A14,Trayectorias!$A$15:$A$39,0),$C$5),INDEX(Trayectorias!$E$15:$G$39,MATCH($A14,Trayectorias!$A$15:$A$39,0),$C$5))+Parametros_PV!$C$17*(10/8)^Parametros_PV!$C$34*INDEX(Trayectorias!$K$15:$M$39,MATCH($A14,Trayectorias!$A$15:$A$39,0),$C$5)+Parametros_PV!$C$18*INDEX(Trayectorias!$K$15:$M$39,MATCH($A14,Trayectorias!$A$15:$A$39,0),$C$5))*Parametros_PV!$C$20</f>
        <v>650.63555412944766</v>
      </c>
      <c r="E14" s="24">
        <f>(Parametros_PV!$C$16*(20/8)^Parametros_PV!$C$33*IF(20&lt;$C$6,INDEX(Trayectorias!$H$15:$J$39,MATCH($A14,Trayectorias!$A$15:$A$39,0),$C$5),INDEX(Trayectorias!$E$15:$G$39,MATCH($A14,Trayectorias!$A$15:$A$39,0),$C$5))+Parametros_PV!$C$17*(20/8)^Parametros_PV!$C$34*INDEX(Trayectorias!$K$15:$M$39,MATCH($A14,Trayectorias!$A$15:$A$39,0),$C$5)+Parametros_PV!$C$18*INDEX(Trayectorias!$K$15:$M$39,MATCH($A14,Trayectorias!$A$15:$A$39,0),$C$5))*Parametros_PV!$C$20</f>
        <v>620.19568948508288</v>
      </c>
      <c r="F14" s="24">
        <f>(Parametros_PV!$C$16*(50/8)^Parametros_PV!$C$33*IF(50&lt;$C$6,INDEX(Trayectorias!$H$15:$J$39,MATCH($A14,Trayectorias!$A$15:$A$39,0),$C$5),INDEX(Trayectorias!$E$15:$G$39,MATCH($A14,Trayectorias!$A$15:$A$39,0),$C$5))+Parametros_PV!$C$17*(50/8)^Parametros_PV!$C$34*INDEX(Trayectorias!$K$15:$M$39,MATCH($A14,Trayectorias!$A$15:$A$39,0),$C$5)+Parametros_PV!$C$18*INDEX(Trayectorias!$K$15:$M$39,MATCH($A14,Trayectorias!$A$15:$A$39,0),$C$5))*Parametros_PV!$C$20</f>
        <v>582.43015565952828</v>
      </c>
      <c r="G14" s="24">
        <f>(Parametros_PV!$C$16*(100/8)^Parametros_PV!$C$33*IF(100&lt;$C$6,INDEX(Trayectorias!$H$15:$J$39,MATCH($A14,Trayectorias!$A$15:$A$39,0),$C$5),INDEX(Trayectorias!$E$15:$G$39,MATCH($A14,Trayectorias!$A$15:$A$39,0),$C$5))+Parametros_PV!$C$17*(100/8)^Parametros_PV!$C$34*INDEX(Trayectorias!$K$15:$M$39,MATCH($A14,Trayectorias!$A$15:$A$39,0),$C$5)+Parametros_PV!$C$18*INDEX(Trayectorias!$K$15:$M$39,MATCH($A14,Trayectorias!$A$15:$A$39,0),$C$5))*Parametros_PV!$C$20</f>
        <v>555.61925645519466</v>
      </c>
      <c r="H14" s="24">
        <f>(Parametros_PV!$C$16*(200/8)^Parametros_PV!$C$33*IF(200&lt;$C$6,INDEX(Trayectorias!$H$15:$J$39,MATCH($A14,Trayectorias!$A$15:$A$39,0),$C$5),INDEX(Trayectorias!$E$15:$G$39,MATCH($A14,Trayectorias!$A$15:$A$39,0),$C$5))+Parametros_PV!$C$17*(200/8)^Parametros_PV!$C$34*INDEX(Trayectorias!$K$15:$M$39,MATCH($A14,Trayectorias!$A$15:$A$39,0),$C$5)+Parametros_PV!$C$18*INDEX(Trayectorias!$K$15:$M$39,MATCH($A14,Trayectorias!$A$15:$A$39,0),$C$5))*Parametros_PV!$C$20</f>
        <v>530.2303163373781</v>
      </c>
    </row>
    <row r="15" spans="1:8" x14ac:dyDescent="0.35">
      <c r="A15" s="32">
        <v>2031</v>
      </c>
      <c r="B15" s="24">
        <f>(Parametros_PV!$C$16*(1/8)^Parametros_PV!$C$33*IF(1&lt;$C$6,INDEX(Trayectorias!$H$15:$J$39,MATCH($A15,Trayectorias!$A$15:$A$39,0),$C$5),INDEX(Trayectorias!$E$15:$G$39,MATCH($A15,Trayectorias!$A$15:$A$39,0),$C$5))+Parametros_PV!$C$17*(1/8)^Parametros_PV!$C$34*INDEX(Trayectorias!$K$15:$M$39,MATCH($A15,Trayectorias!$A$15:$A$39,0),$C$5)+Parametros_PV!$C$18*INDEX(Trayectorias!$K$15:$M$39,MATCH($A15,Trayectorias!$A$15:$A$39,0),$C$5))*Parametros_PV!$C$20</f>
        <v>778.9543540117794</v>
      </c>
      <c r="C15" s="24">
        <f>(Parametros_PV!$C$16*(5/8)^Parametros_PV!$C$33*IF(5&lt;$C$6,INDEX(Trayectorias!$H$15:$J$39,MATCH($A15,Trayectorias!$A$15:$A$39,0),$C$5),INDEX(Trayectorias!$E$15:$G$39,MATCH($A15,Trayectorias!$A$15:$A$39,0),$C$5))+Parametros_PV!$C$17*(5/8)^Parametros_PV!$C$34*INDEX(Trayectorias!$K$15:$M$39,MATCH($A15,Trayectorias!$A$15:$A$39,0),$C$5)+Parametros_PV!$C$18*INDEX(Trayectorias!$K$15:$M$39,MATCH($A15,Trayectorias!$A$15:$A$39,0),$C$5))*Parametros_PV!$C$20</f>
        <v>694.72538455484369</v>
      </c>
      <c r="D15" s="24">
        <f>(Parametros_PV!$C$16*(10/8)^Parametros_PV!$C$33*IF(10&lt;$C$6,INDEX(Trayectorias!$H$15:$J$39,MATCH($A15,Trayectorias!$A$15:$A$39,0),$C$5),INDEX(Trayectorias!$E$15:$G$39,MATCH($A15,Trayectorias!$A$15:$A$39,0),$C$5))+Parametros_PV!$C$17*(10/8)^Parametros_PV!$C$34*INDEX(Trayectorias!$K$15:$M$39,MATCH($A15,Trayectorias!$A$15:$A$39,0),$C$5)+Parametros_PV!$C$18*INDEX(Trayectorias!$K$15:$M$39,MATCH($A15,Trayectorias!$A$15:$A$39,0),$C$5))*Parametros_PV!$C$20</f>
        <v>619.34753073100308</v>
      </c>
      <c r="E15" s="24">
        <f>(Parametros_PV!$C$16*(20/8)^Parametros_PV!$C$33*IF(20&lt;$C$6,INDEX(Trayectorias!$H$15:$J$39,MATCH($A15,Trayectorias!$A$15:$A$39,0),$C$5),INDEX(Trayectorias!$E$15:$G$39,MATCH($A15,Trayectorias!$A$15:$A$39,0),$C$5))+Parametros_PV!$C$17*(20/8)^Parametros_PV!$C$34*INDEX(Trayectorias!$K$15:$M$39,MATCH($A15,Trayectorias!$A$15:$A$39,0),$C$5)+Parametros_PV!$C$18*INDEX(Trayectorias!$K$15:$M$39,MATCH($A15,Trayectorias!$A$15:$A$39,0),$C$5))*Parametros_PV!$C$20</f>
        <v>590.62975966893123</v>
      </c>
      <c r="F15" s="24">
        <f>(Parametros_PV!$C$16*(50/8)^Parametros_PV!$C$33*IF(50&lt;$C$6,INDEX(Trayectorias!$H$15:$J$39,MATCH($A15,Trayectorias!$A$15:$A$39,0),$C$5),INDEX(Trayectorias!$E$15:$G$39,MATCH($A15,Trayectorias!$A$15:$A$39,0),$C$5))+Parametros_PV!$C$17*(50/8)^Parametros_PV!$C$34*INDEX(Trayectorias!$K$15:$M$39,MATCH($A15,Trayectorias!$A$15:$A$39,0),$C$5)+Parametros_PV!$C$18*INDEX(Trayectorias!$K$15:$M$39,MATCH($A15,Trayectorias!$A$15:$A$39,0),$C$5))*Parametros_PV!$C$20</f>
        <v>554.98788732822891</v>
      </c>
      <c r="G15" s="24">
        <f>(Parametros_PV!$C$16*(100/8)^Parametros_PV!$C$33*IF(100&lt;$C$6,INDEX(Trayectorias!$H$15:$J$39,MATCH($A15,Trayectorias!$A$15:$A$39,0),$C$5),INDEX(Trayectorias!$E$15:$G$39,MATCH($A15,Trayectorias!$A$15:$A$39,0),$C$5))+Parametros_PV!$C$17*(100/8)^Parametros_PV!$C$34*INDEX(Trayectorias!$K$15:$M$39,MATCH($A15,Trayectorias!$A$15:$A$39,0),$C$5)+Parametros_PV!$C$18*INDEX(Trayectorias!$K$15:$M$39,MATCH($A15,Trayectorias!$A$15:$A$39,0),$C$5))*Parametros_PV!$C$20</f>
        <v>529.67539747950173</v>
      </c>
      <c r="H15" s="24">
        <f>(Parametros_PV!$C$16*(200/8)^Parametros_PV!$C$33*IF(200&lt;$C$6,INDEX(Trayectorias!$H$15:$J$39,MATCH($A15,Trayectorias!$A$15:$A$39,0),$C$5),INDEX(Trayectorias!$E$15:$G$39,MATCH($A15,Trayectorias!$A$15:$A$39,0),$C$5))+Parametros_PV!$C$17*(200/8)^Parametros_PV!$C$34*INDEX(Trayectorias!$K$15:$M$39,MATCH($A15,Trayectorias!$A$15:$A$39,0),$C$5)+Parametros_PV!$C$18*INDEX(Trayectorias!$K$15:$M$39,MATCH($A15,Trayectorias!$A$15:$A$39,0),$C$5))*Parametros_PV!$C$20</f>
        <v>505.69783996511478</v>
      </c>
    </row>
    <row r="16" spans="1:8" x14ac:dyDescent="0.35">
      <c r="A16" s="32">
        <v>2032</v>
      </c>
      <c r="B16" s="24">
        <f>(Parametros_PV!$C$16*(1/8)^Parametros_PV!$C$33*IF(1&lt;$C$6,INDEX(Trayectorias!$H$15:$J$39,MATCH($A16,Trayectorias!$A$15:$A$39,0),$C$5),INDEX(Trayectorias!$E$15:$G$39,MATCH($A16,Trayectorias!$A$15:$A$39,0),$C$5))+Parametros_PV!$C$17*(1/8)^Parametros_PV!$C$34*INDEX(Trayectorias!$K$15:$M$39,MATCH($A16,Trayectorias!$A$15:$A$39,0),$C$5)+Parametros_PV!$C$18*INDEX(Trayectorias!$K$15:$M$39,MATCH($A16,Trayectorias!$A$15:$A$39,0),$C$5))*Parametros_PV!$C$20</f>
        <v>749.99034710352294</v>
      </c>
      <c r="C16" s="24">
        <f>(Parametros_PV!$C$16*(5/8)^Parametros_PV!$C$33*IF(5&lt;$C$6,INDEX(Trayectorias!$H$15:$J$39,MATCH($A16,Trayectorias!$A$15:$A$39,0),$C$5),INDEX(Trayectorias!$E$15:$G$39,MATCH($A16,Trayectorias!$A$15:$A$39,0),$C$5))+Parametros_PV!$C$17*(5/8)^Parametros_PV!$C$34*INDEX(Trayectorias!$K$15:$M$39,MATCH($A16,Trayectorias!$A$15:$A$39,0),$C$5)+Parametros_PV!$C$18*INDEX(Trayectorias!$K$15:$M$39,MATCH($A16,Trayectorias!$A$15:$A$39,0),$C$5))*Parametros_PV!$C$20</f>
        <v>669.26420226865275</v>
      </c>
      <c r="D16" s="24">
        <f>(Parametros_PV!$C$16*(10/8)^Parametros_PV!$C$33*IF(10&lt;$C$6,INDEX(Trayectorias!$H$15:$J$39,MATCH($A16,Trayectorias!$A$15:$A$39,0),$C$5),INDEX(Trayectorias!$E$15:$G$39,MATCH($A16,Trayectorias!$A$15:$A$39,0),$C$5))+Parametros_PV!$C$17*(10/8)^Parametros_PV!$C$34*INDEX(Trayectorias!$K$15:$M$39,MATCH($A16,Trayectorias!$A$15:$A$39,0),$C$5)+Parametros_PV!$C$18*INDEX(Trayectorias!$K$15:$M$39,MATCH($A16,Trayectorias!$A$15:$A$39,0),$C$5))*Parametros_PV!$C$20</f>
        <v>590.12736061684348</v>
      </c>
      <c r="E16" s="24">
        <f>(Parametros_PV!$C$16*(20/8)^Parametros_PV!$C$33*IF(20&lt;$C$6,INDEX(Trayectorias!$H$15:$J$39,MATCH($A16,Trayectorias!$A$15:$A$39,0),$C$5),INDEX(Trayectorias!$E$15:$G$39,MATCH($A16,Trayectorias!$A$15:$A$39,0),$C$5))+Parametros_PV!$C$17*(20/8)^Parametros_PV!$C$34*INDEX(Trayectorias!$K$15:$M$39,MATCH($A16,Trayectorias!$A$15:$A$39,0),$C$5)+Parametros_PV!$C$18*INDEX(Trayectorias!$K$15:$M$39,MATCH($A16,Trayectorias!$A$15:$A$39,0),$C$5))*Parametros_PV!$C$20</f>
        <v>563.00944586103844</v>
      </c>
      <c r="F16" s="24">
        <f>(Parametros_PV!$C$16*(50/8)^Parametros_PV!$C$33*IF(50&lt;$C$6,INDEX(Trayectorias!$H$15:$J$39,MATCH($A16,Trayectorias!$A$15:$A$39,0),$C$5),INDEX(Trayectorias!$E$15:$G$39,MATCH($A16,Trayectorias!$A$15:$A$39,0),$C$5))+Parametros_PV!$C$17*(50/8)^Parametros_PV!$C$34*INDEX(Trayectorias!$K$15:$M$39,MATCH($A16,Trayectorias!$A$15:$A$39,0),$C$5)+Parametros_PV!$C$18*INDEX(Trayectorias!$K$15:$M$39,MATCH($A16,Trayectorias!$A$15:$A$39,0),$C$5))*Parametros_PV!$C$20</f>
        <v>529.34085050553585</v>
      </c>
      <c r="G16" s="24">
        <f>(Parametros_PV!$C$16*(100/8)^Parametros_PV!$C$33*IF(100&lt;$C$6,INDEX(Trayectorias!$H$15:$J$39,MATCH($A16,Trayectorias!$A$15:$A$39,0),$C$5),INDEX(Trayectorias!$E$15:$G$39,MATCH($A16,Trayectorias!$A$15:$A$39,0),$C$5))+Parametros_PV!$C$17*(100/8)^Parametros_PV!$C$34*INDEX(Trayectorias!$K$15:$M$39,MATCH($A16,Trayectorias!$A$15:$A$39,0),$C$5)+Parametros_PV!$C$18*INDEX(Trayectorias!$K$15:$M$39,MATCH($A16,Trayectorias!$A$15:$A$39,0),$C$5))*Parametros_PV!$C$20</f>
        <v>505.42091971627701</v>
      </c>
      <c r="H16" s="24">
        <f>(Parametros_PV!$C$16*(200/8)^Parametros_PV!$C$33*IF(200&lt;$C$6,INDEX(Trayectorias!$H$15:$J$39,MATCH($A16,Trayectorias!$A$15:$A$39,0),$C$5),INDEX(Trayectorias!$E$15:$G$39,MATCH($A16,Trayectorias!$A$15:$A$39,0),$C$5))+Parametros_PV!$C$17*(200/8)^Parametros_PV!$C$34*INDEX(Trayectorias!$K$15:$M$39,MATCH($A16,Trayectorias!$A$15:$A$39,0),$C$5)+Parametros_PV!$C$18*INDEX(Trayectorias!$K$15:$M$39,MATCH($A16,Trayectorias!$A$15:$A$39,0),$C$5))*Parametros_PV!$C$20</f>
        <v>482.75525424713885</v>
      </c>
    </row>
    <row r="17" spans="1:8" x14ac:dyDescent="0.35">
      <c r="A17" s="32">
        <v>2033</v>
      </c>
      <c r="B17" s="24">
        <f>(Parametros_PV!$C$16*(1/8)^Parametros_PV!$C$33*IF(1&lt;$C$6,INDEX(Trayectorias!$H$15:$J$39,MATCH($A17,Trayectorias!$A$15:$A$39,0),$C$5),INDEX(Trayectorias!$E$15:$G$39,MATCH($A17,Trayectorias!$A$15:$A$39,0),$C$5))+Parametros_PV!$C$17*(1/8)^Parametros_PV!$C$34*INDEX(Trayectorias!$K$15:$M$39,MATCH($A17,Trayectorias!$A$15:$A$39,0),$C$5)+Parametros_PV!$C$18*INDEX(Trayectorias!$K$15:$M$39,MATCH($A17,Trayectorias!$A$15:$A$39,0),$C$5))*Parametros_PV!$C$20</f>
        <v>722.31759942322867</v>
      </c>
      <c r="C17" s="24">
        <f>(Parametros_PV!$C$16*(5/8)^Parametros_PV!$C$33*IF(5&lt;$C$6,INDEX(Trayectorias!$H$15:$J$39,MATCH($A17,Trayectorias!$A$15:$A$39,0),$C$5),INDEX(Trayectorias!$E$15:$G$39,MATCH($A17,Trayectorias!$A$15:$A$39,0),$C$5))+Parametros_PV!$C$17*(5/8)^Parametros_PV!$C$34*INDEX(Trayectorias!$K$15:$M$39,MATCH($A17,Trayectorias!$A$15:$A$39,0),$C$5)+Parametros_PV!$C$18*INDEX(Trayectorias!$K$15:$M$39,MATCH($A17,Trayectorias!$A$15:$A$39,0),$C$5))*Parametros_PV!$C$20</f>
        <v>644.9275769227487</v>
      </c>
      <c r="D17" s="24">
        <f>(Parametros_PV!$C$16*(10/8)^Parametros_PV!$C$33*IF(10&lt;$C$6,INDEX(Trayectorias!$H$15:$J$39,MATCH($A17,Trayectorias!$A$15:$A$39,0),$C$5),INDEX(Trayectorias!$E$15:$G$39,MATCH($A17,Trayectorias!$A$15:$A$39,0),$C$5))+Parametros_PV!$C$17*(10/8)^Parametros_PV!$C$34*INDEX(Trayectorias!$K$15:$M$39,MATCH($A17,Trayectorias!$A$15:$A$39,0),$C$5)+Parametros_PV!$C$18*INDEX(Trayectorias!$K$15:$M$39,MATCH($A17,Trayectorias!$A$15:$A$39,0),$C$5))*Parametros_PV!$C$20</f>
        <v>562.82001004306164</v>
      </c>
      <c r="E17" s="24">
        <f>(Parametros_PV!$C$16*(20/8)^Parametros_PV!$C$33*IF(20&lt;$C$6,INDEX(Trayectorias!$H$15:$J$39,MATCH($A17,Trayectorias!$A$15:$A$39,0),$C$5),INDEX(Trayectorias!$E$15:$G$39,MATCH($A17,Trayectorias!$A$15:$A$39,0),$C$5))+Parametros_PV!$C$17*(20/8)^Parametros_PV!$C$34*INDEX(Trayectorias!$K$15:$M$39,MATCH($A17,Trayectorias!$A$15:$A$39,0),$C$5)+Parametros_PV!$C$18*INDEX(Trayectorias!$K$15:$M$39,MATCH($A17,Trayectorias!$A$15:$A$39,0),$C$5))*Parametros_PV!$C$20</f>
        <v>537.18907868725262</v>
      </c>
      <c r="F17" s="24">
        <f>(Parametros_PV!$C$16*(50/8)^Parametros_PV!$C$33*IF(50&lt;$C$6,INDEX(Trayectorias!$H$15:$J$39,MATCH($A17,Trayectorias!$A$15:$A$39,0),$C$5),INDEX(Trayectorias!$E$15:$G$39,MATCH($A17,Trayectorias!$A$15:$A$39,0),$C$5))+Parametros_PV!$C$17*(50/8)^Parametros_PV!$C$34*INDEX(Trayectorias!$K$15:$M$39,MATCH($A17,Trayectorias!$A$15:$A$39,0),$C$5)+Parametros_PV!$C$18*INDEX(Trayectorias!$K$15:$M$39,MATCH($A17,Trayectorias!$A$15:$A$39,0),$C$5))*Parametros_PV!$C$20</f>
        <v>505.35488861136548</v>
      </c>
      <c r="G17" s="24">
        <f>(Parametros_PV!$C$16*(100/8)^Parametros_PV!$C$33*IF(100&lt;$C$6,INDEX(Trayectorias!$H$15:$J$39,MATCH($A17,Trayectorias!$A$15:$A$39,0),$C$5),INDEX(Trayectorias!$E$15:$G$39,MATCH($A17,Trayectorias!$A$15:$A$39,0),$C$5))+Parametros_PV!$C$17*(100/8)^Parametros_PV!$C$34*INDEX(Trayectorias!$K$15:$M$39,MATCH($A17,Trayectorias!$A$15:$A$39,0),$C$5)+Parametros_PV!$C$18*INDEX(Trayectorias!$K$15:$M$39,MATCH($A17,Trayectorias!$A$15:$A$39,0),$C$5))*Parametros_PV!$C$20</f>
        <v>482.72976432398713</v>
      </c>
      <c r="H17" s="24">
        <f>(Parametros_PV!$C$16*(200/8)^Parametros_PV!$C$33*IF(200&lt;$C$6,INDEX(Trayectorias!$H$15:$J$39,MATCH($A17,Trayectorias!$A$15:$A$39,0),$C$5),INDEX(Trayectorias!$E$15:$G$39,MATCH($A17,Trayectorias!$A$15:$A$39,0),$C$5))+Parametros_PV!$C$17*(200/8)^Parametros_PV!$C$34*INDEX(Trayectorias!$K$15:$M$39,MATCH($A17,Trayectorias!$A$15:$A$39,0),$C$5)+Parametros_PV!$C$18*INDEX(Trayectorias!$K$15:$M$39,MATCH($A17,Trayectorias!$A$15:$A$39,0),$C$5))*Parametros_PV!$C$20</f>
        <v>461.28410684272109</v>
      </c>
    </row>
    <row r="18" spans="1:8" x14ac:dyDescent="0.35">
      <c r="A18" s="32">
        <v>2034</v>
      </c>
      <c r="B18" s="24">
        <f>(Parametros_PV!$C$16*(1/8)^Parametros_PV!$C$33*IF(1&lt;$C$6,INDEX(Trayectorias!$H$15:$J$39,MATCH($A18,Trayectorias!$A$15:$A$39,0),$C$5),INDEX(Trayectorias!$E$15:$G$39,MATCH($A18,Trayectorias!$A$15:$A$39,0),$C$5))+Parametros_PV!$C$17*(1/8)^Parametros_PV!$C$34*INDEX(Trayectorias!$K$15:$M$39,MATCH($A18,Trayectorias!$A$15:$A$39,0),$C$5)+Parametros_PV!$C$18*INDEX(Trayectorias!$K$15:$M$39,MATCH($A18,Trayectorias!$A$15:$A$39,0),$C$5))*Parametros_PV!$C$20</f>
        <v>695.87245502371502</v>
      </c>
      <c r="C18" s="24">
        <f>(Parametros_PV!$C$16*(5/8)^Parametros_PV!$C$33*IF(5&lt;$C$6,INDEX(Trayectorias!$H$15:$J$39,MATCH($A18,Trayectorias!$A$15:$A$39,0),$C$5),INDEX(Trayectorias!$E$15:$G$39,MATCH($A18,Trayectorias!$A$15:$A$39,0),$C$5))+Parametros_PV!$C$17*(5/8)^Parametros_PV!$C$34*INDEX(Trayectorias!$K$15:$M$39,MATCH($A18,Trayectorias!$A$15:$A$39,0),$C$5)+Parametros_PV!$C$18*INDEX(Trayectorias!$K$15:$M$39,MATCH($A18,Trayectorias!$A$15:$A$39,0),$C$5))*Parametros_PV!$C$20</f>
        <v>621.6603204372002</v>
      </c>
      <c r="D18" s="24">
        <f>(Parametros_PV!$C$16*(10/8)^Parametros_PV!$C$33*IF(10&lt;$C$6,INDEX(Trayectorias!$H$15:$J$39,MATCH($A18,Trayectorias!$A$15:$A$39,0),$C$5),INDEX(Trayectorias!$E$15:$G$39,MATCH($A18,Trayectorias!$A$15:$A$39,0),$C$5))+Parametros_PV!$C$17*(10/8)^Parametros_PV!$C$34*INDEX(Trayectorias!$K$15:$M$39,MATCH($A18,Trayectorias!$A$15:$A$39,0),$C$5)+Parametros_PV!$C$18*INDEX(Trayectorias!$K$15:$M$39,MATCH($A18,Trayectorias!$A$15:$A$39,0),$C$5))*Parametros_PV!$C$20</f>
        <v>537.28250445418143</v>
      </c>
      <c r="E18" s="24">
        <f>(Parametros_PV!$C$16*(20/8)^Parametros_PV!$C$33*IF(20&lt;$C$6,INDEX(Trayectorias!$H$15:$J$39,MATCH($A18,Trayectorias!$A$15:$A$39,0),$C$5),INDEX(Trayectorias!$E$15:$G$39,MATCH($A18,Trayectorias!$A$15:$A$39,0),$C$5))+Parametros_PV!$C$17*(20/8)^Parametros_PV!$C$34*INDEX(Trayectorias!$K$15:$M$39,MATCH($A18,Trayectorias!$A$15:$A$39,0),$C$5)+Parametros_PV!$C$18*INDEX(Trayectorias!$K$15:$M$39,MATCH($A18,Trayectorias!$A$15:$A$39,0),$C$5))*Parametros_PV!$C$20</f>
        <v>513.03431538127597</v>
      </c>
      <c r="F18" s="24">
        <f>(Parametros_PV!$C$16*(50/8)^Parametros_PV!$C$33*IF(50&lt;$C$6,INDEX(Trayectorias!$H$15:$J$39,MATCH($A18,Trayectorias!$A$15:$A$39,0),$C$5),INDEX(Trayectorias!$E$15:$G$39,MATCH($A18,Trayectorias!$A$15:$A$39,0),$C$5))+Parametros_PV!$C$17*(50/8)^Parametros_PV!$C$34*INDEX(Trayectorias!$K$15:$M$39,MATCH($A18,Trayectorias!$A$15:$A$39,0),$C$5)+Parametros_PV!$C$18*INDEX(Trayectorias!$K$15:$M$39,MATCH($A18,Trayectorias!$A$15:$A$39,0),$C$5))*Parametros_PV!$C$20</f>
        <v>482.90627118165497</v>
      </c>
      <c r="G18" s="24">
        <f>(Parametros_PV!$C$16*(100/8)^Parametros_PV!$C$33*IF(100&lt;$C$6,INDEX(Trayectorias!$H$15:$J$39,MATCH($A18,Trayectorias!$A$15:$A$39,0),$C$5),INDEX(Trayectorias!$E$15:$G$39,MATCH($A18,Trayectorias!$A$15:$A$39,0),$C$5))+Parametros_PV!$C$17*(100/8)^Parametros_PV!$C$34*INDEX(Trayectorias!$K$15:$M$39,MATCH($A18,Trayectorias!$A$15:$A$39,0),$C$5)+Parametros_PV!$C$18*INDEX(Trayectorias!$K$15:$M$39,MATCH($A18,Trayectorias!$A$15:$A$39,0),$C$5))*Parametros_PV!$C$20</f>
        <v>461.48566531629069</v>
      </c>
      <c r="H18" s="24">
        <f>(Parametros_PV!$C$16*(200/8)^Parametros_PV!$C$33*IF(200&lt;$C$6,INDEX(Trayectorias!$H$15:$J$39,MATCH($A18,Trayectorias!$A$15:$A$39,0),$C$5),INDEX(Trayectorias!$E$15:$G$39,MATCH($A18,Trayectorias!$A$15:$A$39,0),$C$5))+Parametros_PV!$C$17*(200/8)^Parametros_PV!$C$34*INDEX(Trayectorias!$K$15:$M$39,MATCH($A18,Trayectorias!$A$15:$A$39,0),$C$5)+Parametros_PV!$C$18*INDEX(Trayectorias!$K$15:$M$39,MATCH($A18,Trayectorias!$A$15:$A$39,0),$C$5))*Parametros_PV!$C$20</f>
        <v>441.17514351782933</v>
      </c>
    </row>
    <row r="19" spans="1:8" x14ac:dyDescent="0.35">
      <c r="A19" s="32">
        <v>2035</v>
      </c>
      <c r="B19" s="24">
        <f>(Parametros_PV!$C$16*(1/8)^Parametros_PV!$C$33*IF(1&lt;$C$6,INDEX(Trayectorias!$H$15:$J$39,MATCH($A19,Trayectorias!$A$15:$A$39,0),$C$5),INDEX(Trayectorias!$E$15:$G$39,MATCH($A19,Trayectorias!$A$15:$A$39,0),$C$5))+Parametros_PV!$C$17*(1/8)^Parametros_PV!$C$34*INDEX(Trayectorias!$K$15:$M$39,MATCH($A19,Trayectorias!$A$15:$A$39,0),$C$5)+Parametros_PV!$C$18*INDEX(Trayectorias!$K$15:$M$39,MATCH($A19,Trayectorias!$A$15:$A$39,0),$C$5))*Parametros_PV!$C$20</f>
        <v>670.59454038123124</v>
      </c>
      <c r="C19" s="24">
        <f>(Parametros_PV!$C$16*(5/8)^Parametros_PV!$C$33*IF(5&lt;$C$6,INDEX(Trayectorias!$H$15:$J$39,MATCH($A19,Trayectorias!$A$15:$A$39,0),$C$5),INDEX(Trayectorias!$E$15:$G$39,MATCH($A19,Trayectorias!$A$15:$A$39,0),$C$5))+Parametros_PV!$C$17*(5/8)^Parametros_PV!$C$34*INDEX(Trayectorias!$K$15:$M$39,MATCH($A19,Trayectorias!$A$15:$A$39,0),$C$5)+Parametros_PV!$C$18*INDEX(Trayectorias!$K$15:$M$39,MATCH($A19,Trayectorias!$A$15:$A$39,0),$C$5))*Parametros_PV!$C$20</f>
        <v>599.41008515383828</v>
      </c>
      <c r="D19" s="24">
        <f>(Parametros_PV!$C$16*(10/8)^Parametros_PV!$C$33*IF(10&lt;$C$6,INDEX(Trayectorias!$H$15:$J$39,MATCH($A19,Trayectorias!$A$15:$A$39,0),$C$5),INDEX(Trayectorias!$E$15:$G$39,MATCH($A19,Trayectorias!$A$15:$A$39,0),$C$5))+Parametros_PV!$C$17*(10/8)^Parametros_PV!$C$34*INDEX(Trayectorias!$K$15:$M$39,MATCH($A19,Trayectorias!$A$15:$A$39,0),$C$5)+Parametros_PV!$C$18*INDEX(Trayectorias!$K$15:$M$39,MATCH($A19,Trayectorias!$A$15:$A$39,0),$C$5))*Parametros_PV!$C$20</f>
        <v>513.382981352775</v>
      </c>
      <c r="E19" s="24">
        <f>(Parametros_PV!$C$16*(20/8)^Parametros_PV!$C$33*IF(20&lt;$C$6,INDEX(Trayectorias!$H$15:$J$39,MATCH($A19,Trayectorias!$A$15:$A$39,0),$C$5),INDEX(Trayectorias!$E$15:$G$39,MATCH($A19,Trayectorias!$A$15:$A$39,0),$C$5))+Parametros_PV!$C$17*(20/8)^Parametros_PV!$C$34*INDEX(Trayectorias!$K$15:$M$39,MATCH($A19,Trayectorias!$A$15:$A$39,0),$C$5)+Parametros_PV!$C$18*INDEX(Trayectorias!$K$15:$M$39,MATCH($A19,Trayectorias!$A$15:$A$39,0),$C$5))*Parametros_PV!$C$20</f>
        <v>490.42125027552805</v>
      </c>
      <c r="F19" s="24">
        <f>(Parametros_PV!$C$16*(50/8)^Parametros_PV!$C$33*IF(50&lt;$C$6,INDEX(Trayectorias!$H$15:$J$39,MATCH($A19,Trayectorias!$A$15:$A$39,0),$C$5),INDEX(Trayectorias!$E$15:$G$39,MATCH($A19,Trayectorias!$A$15:$A$39,0),$C$5))+Parametros_PV!$C$17*(50/8)^Parametros_PV!$C$34*INDEX(Trayectorias!$K$15:$M$39,MATCH($A19,Trayectorias!$A$15:$A$39,0),$C$5)+Parametros_PV!$C$18*INDEX(Trayectorias!$K$15:$M$39,MATCH($A19,Trayectorias!$A$15:$A$39,0),$C$5))*Parametros_PV!$C$20</f>
        <v>461.88087518432775</v>
      </c>
      <c r="G19" s="24">
        <f>(Parametros_PV!$C$16*(100/8)^Parametros_PV!$C$33*IF(100&lt;$C$6,INDEX(Trayectorias!$H$15:$J$39,MATCH($A19,Trayectorias!$A$15:$A$39,0),$C$5),INDEX(Trayectorias!$E$15:$G$39,MATCH($A19,Trayectorias!$A$15:$A$39,0),$C$5))+Parametros_PV!$C$17*(100/8)^Parametros_PV!$C$34*INDEX(Trayectorias!$K$15:$M$39,MATCH($A19,Trayectorias!$A$15:$A$39,0),$C$5)+Parametros_PV!$C$18*INDEX(Trayectorias!$K$15:$M$39,MATCH($A19,Trayectorias!$A$15:$A$39,0),$C$5))*Parametros_PV!$C$20</f>
        <v>441.58138068262218</v>
      </c>
      <c r="H19" s="24">
        <f>(Parametros_PV!$C$16*(200/8)^Parametros_PV!$C$33*IF(200&lt;$C$6,INDEX(Trayectorias!$H$15:$J$39,MATCH($A19,Trayectorias!$A$15:$A$39,0),$C$5),INDEX(Trayectorias!$E$15:$G$39,MATCH($A19,Trayectorias!$A$15:$A$39,0),$C$5))+Parametros_PV!$C$17*(200/8)^Parametros_PV!$C$34*INDEX(Trayectorias!$K$15:$M$39,MATCH($A19,Trayectorias!$A$15:$A$39,0),$C$5)+Parametros_PV!$C$18*INDEX(Trayectorias!$K$15:$M$39,MATCH($A19,Trayectorias!$A$15:$A$39,0),$C$5))*Parametros_PV!$C$20</f>
        <v>422.32758603948218</v>
      </c>
    </row>
    <row r="20" spans="1:8" x14ac:dyDescent="0.35">
      <c r="A20" s="32">
        <v>2036</v>
      </c>
      <c r="B20" s="24">
        <f>(Parametros_PV!$C$16*(1/8)^Parametros_PV!$C$33*IF(1&lt;$C$6,INDEX(Trayectorias!$H$15:$J$39,MATCH($A20,Trayectorias!$A$15:$A$39,0),$C$5),INDEX(Trayectorias!$E$15:$G$39,MATCH($A20,Trayectorias!$A$15:$A$39,0),$C$5))+Parametros_PV!$C$17*(1/8)^Parametros_PV!$C$34*INDEX(Trayectorias!$K$15:$M$39,MATCH($A20,Trayectorias!$A$15:$A$39,0),$C$5)+Parametros_PV!$C$18*INDEX(Trayectorias!$K$15:$M$39,MATCH($A20,Trayectorias!$A$15:$A$39,0),$C$5))*Parametros_PV!$C$20</f>
        <v>658.36797640521934</v>
      </c>
      <c r="C20" s="24">
        <f>(Parametros_PV!$C$16*(5/8)^Parametros_PV!$C$33*IF(5&lt;$C$6,INDEX(Trayectorias!$H$15:$J$39,MATCH($A20,Trayectorias!$A$15:$A$39,0),$C$5),INDEX(Trayectorias!$E$15:$G$39,MATCH($A20,Trayectorias!$A$15:$A$39,0),$C$5))+Parametros_PV!$C$17*(5/8)^Parametros_PV!$C$34*INDEX(Trayectorias!$K$15:$M$39,MATCH($A20,Trayectorias!$A$15:$A$39,0),$C$5)+Parametros_PV!$C$18*INDEX(Trayectorias!$K$15:$M$39,MATCH($A20,Trayectorias!$A$15:$A$39,0),$C$5))*Parametros_PV!$C$20</f>
        <v>588.70184700864365</v>
      </c>
      <c r="D20" s="24">
        <f>(Parametros_PV!$C$16*(10/8)^Parametros_PV!$C$33*IF(10&lt;$C$6,INDEX(Trayectorias!$H$15:$J$39,MATCH($A20,Trayectorias!$A$15:$A$39,0),$C$5),INDEX(Trayectorias!$E$15:$G$39,MATCH($A20,Trayectorias!$A$15:$A$39,0),$C$5))+Parametros_PV!$C$17*(10/8)^Parametros_PV!$C$34*INDEX(Trayectorias!$K$15:$M$39,MATCH($A20,Trayectorias!$A$15:$A$39,0),$C$5)+Parametros_PV!$C$18*INDEX(Trayectorias!$K$15:$M$39,MATCH($A20,Trayectorias!$A$15:$A$39,0),$C$5))*Parametros_PV!$C$20</f>
        <v>505.27609812203855</v>
      </c>
      <c r="E20" s="24">
        <f>(Parametros_PV!$C$16*(20/8)^Parametros_PV!$C$33*IF(20&lt;$C$6,INDEX(Trayectorias!$H$15:$J$39,MATCH($A20,Trayectorias!$A$15:$A$39,0),$C$5),INDEX(Trayectorias!$E$15:$G$39,MATCH($A20,Trayectorias!$A$15:$A$39,0),$C$5))+Parametros_PV!$C$17*(20/8)^Parametros_PV!$C$34*INDEX(Trayectorias!$K$15:$M$39,MATCH($A20,Trayectorias!$A$15:$A$39,0),$C$5)+Parametros_PV!$C$18*INDEX(Trayectorias!$K$15:$M$39,MATCH($A20,Trayectorias!$A$15:$A$39,0),$C$5))*Parametros_PV!$C$20</f>
        <v>482.74897965814392</v>
      </c>
      <c r="F20" s="24">
        <f>(Parametros_PV!$C$16*(50/8)^Parametros_PV!$C$33*IF(50&lt;$C$6,INDEX(Trayectorias!$H$15:$J$39,MATCH($A20,Trayectorias!$A$15:$A$39,0),$C$5),INDEX(Trayectorias!$E$15:$G$39,MATCH($A20,Trayectorias!$A$15:$A$39,0),$C$5))+Parametros_PV!$C$17*(50/8)^Parametros_PV!$C$34*INDEX(Trayectorias!$K$15:$M$39,MATCH($A20,Trayectorias!$A$15:$A$39,0),$C$5)+Parametros_PV!$C$18*INDEX(Trayectorias!$K$15:$M$39,MATCH($A20,Trayectorias!$A$15:$A$39,0),$C$5))*Parametros_PV!$C$20</f>
        <v>454.7450536780085</v>
      </c>
      <c r="G20" s="24">
        <f>(Parametros_PV!$C$16*(100/8)^Parametros_PV!$C$33*IF(100&lt;$C$6,INDEX(Trayectorias!$H$15:$J$39,MATCH($A20,Trayectorias!$A$15:$A$39,0),$C$5),INDEX(Trayectorias!$E$15:$G$39,MATCH($A20,Trayectorias!$A$15:$A$39,0),$C$5))+Parametros_PV!$C$17*(100/8)^Parametros_PV!$C$34*INDEX(Trayectorias!$K$15:$M$39,MATCH($A20,Trayectorias!$A$15:$A$39,0),$C$5)+Parametros_PV!$C$18*INDEX(Trayectorias!$K$15:$M$39,MATCH($A20,Trayectorias!$A$15:$A$39,0),$C$5))*Parametros_PV!$C$20</f>
        <v>434.82442067619809</v>
      </c>
      <c r="H20" s="24">
        <f>(Parametros_PV!$C$16*(200/8)^Parametros_PV!$C$33*IF(200&lt;$C$6,INDEX(Trayectorias!$H$15:$J$39,MATCH($A20,Trayectorias!$A$15:$A$39,0),$C$5),INDEX(Trayectorias!$E$15:$G$39,MATCH($A20,Trayectorias!$A$15:$A$39,0),$C$5))+Parametros_PV!$C$17*(200/8)^Parametros_PV!$C$34*INDEX(Trayectorias!$K$15:$M$39,MATCH($A20,Trayectorias!$A$15:$A$39,0),$C$5)+Parametros_PV!$C$18*INDEX(Trayectorias!$K$15:$M$39,MATCH($A20,Trayectorias!$A$15:$A$39,0),$C$5))*Parametros_PV!$C$20</f>
        <v>415.9277752306121</v>
      </c>
    </row>
    <row r="21" spans="1:8" x14ac:dyDescent="0.35">
      <c r="A21" s="32">
        <v>2037</v>
      </c>
      <c r="B21" s="24">
        <f>(Parametros_PV!$C$16*(1/8)^Parametros_PV!$C$33*IF(1&lt;$C$6,INDEX(Trayectorias!$H$15:$J$39,MATCH($A21,Trayectorias!$A$15:$A$39,0),$C$5),INDEX(Trayectorias!$E$15:$G$39,MATCH($A21,Trayectorias!$A$15:$A$39,0),$C$5))+Parametros_PV!$C$17*(1/8)^Parametros_PV!$C$34*INDEX(Trayectorias!$K$15:$M$39,MATCH($A21,Trayectorias!$A$15:$A$39,0),$C$5)+Parametros_PV!$C$18*INDEX(Trayectorias!$K$15:$M$39,MATCH($A21,Trayectorias!$A$15:$A$39,0),$C$5))*Parametros_PV!$C$20</f>
        <v>646.45218131561614</v>
      </c>
      <c r="C21" s="24">
        <f>(Parametros_PV!$C$16*(5/8)^Parametros_PV!$C$33*IF(5&lt;$C$6,INDEX(Trayectorias!$H$15:$J$39,MATCH($A21,Trayectorias!$A$15:$A$39,0),$C$5),INDEX(Trayectorias!$E$15:$G$39,MATCH($A21,Trayectorias!$A$15:$A$39,0),$C$5))+Parametros_PV!$C$17*(5/8)^Parametros_PV!$C$34*INDEX(Trayectorias!$K$15:$M$39,MATCH($A21,Trayectorias!$A$15:$A$39,0),$C$5)+Parametros_PV!$C$18*INDEX(Trayectorias!$K$15:$M$39,MATCH($A21,Trayectorias!$A$15:$A$39,0),$C$5))*Parametros_PV!$C$20</f>
        <v>578.26321015049803</v>
      </c>
      <c r="D21" s="24">
        <f>(Parametros_PV!$C$16*(10/8)^Parametros_PV!$C$33*IF(10&lt;$C$6,INDEX(Trayectorias!$H$15:$J$39,MATCH($A21,Trayectorias!$A$15:$A$39,0),$C$5),INDEX(Trayectorias!$E$15:$G$39,MATCH($A21,Trayectorias!$A$15:$A$39,0),$C$5))+Parametros_PV!$C$17*(10/8)^Parametros_PV!$C$34*INDEX(Trayectorias!$K$15:$M$39,MATCH($A21,Trayectorias!$A$15:$A$39,0),$C$5)+Parametros_PV!$C$18*INDEX(Trayectorias!$K$15:$M$39,MATCH($A21,Trayectorias!$A$15:$A$39,0),$C$5))*Parametros_PV!$C$20</f>
        <v>497.35482926085223</v>
      </c>
      <c r="E21" s="24">
        <f>(Parametros_PV!$C$16*(20/8)^Parametros_PV!$C$33*IF(20&lt;$C$6,INDEX(Trayectorias!$H$15:$J$39,MATCH($A21,Trayectorias!$A$15:$A$39,0),$C$5),INDEX(Trayectorias!$E$15:$G$39,MATCH($A21,Trayectorias!$A$15:$A$39,0),$C$5))+Parametros_PV!$C$17*(20/8)^Parametros_PV!$C$34*INDEX(Trayectorias!$K$15:$M$39,MATCH($A21,Trayectorias!$A$15:$A$39,0),$C$5)+Parametros_PV!$C$18*INDEX(Trayectorias!$K$15:$M$39,MATCH($A21,Trayectorias!$A$15:$A$39,0),$C$5))*Parametros_PV!$C$20</f>
        <v>475.25144319069341</v>
      </c>
      <c r="F21" s="24">
        <f>(Parametros_PV!$C$16*(50/8)^Parametros_PV!$C$33*IF(50&lt;$C$6,INDEX(Trayectorias!$H$15:$J$39,MATCH($A21,Trayectorias!$A$15:$A$39,0),$C$5),INDEX(Trayectorias!$E$15:$G$39,MATCH($A21,Trayectorias!$A$15:$A$39,0),$C$5))+Parametros_PV!$C$17*(50/8)^Parametros_PV!$C$34*INDEX(Trayectorias!$K$15:$M$39,MATCH($A21,Trayectorias!$A$15:$A$39,0),$C$5)+Parametros_PV!$C$18*INDEX(Trayectorias!$K$15:$M$39,MATCH($A21,Trayectorias!$A$15:$A$39,0),$C$5))*Parametros_PV!$C$20</f>
        <v>447.7705771156792</v>
      </c>
      <c r="G21" s="24">
        <f>(Parametros_PV!$C$16*(100/8)^Parametros_PV!$C$33*IF(100&lt;$C$6,INDEX(Trayectorias!$H$15:$J$39,MATCH($A21,Trayectorias!$A$15:$A$39,0),$C$5),INDEX(Trayectorias!$E$15:$G$39,MATCH($A21,Trayectorias!$A$15:$A$39,0),$C$5))+Parametros_PV!$C$17*(100/8)^Parametros_PV!$C$34*INDEX(Trayectorias!$K$15:$M$39,MATCH($A21,Trayectorias!$A$15:$A$39,0),$C$5)+Parametros_PV!$C$18*INDEX(Trayectorias!$K$15:$M$39,MATCH($A21,Trayectorias!$A$15:$A$39,0),$C$5))*Parametros_PV!$C$20</f>
        <v>428.21937880006215</v>
      </c>
      <c r="H21" s="24">
        <f>(Parametros_PV!$C$16*(200/8)^Parametros_PV!$C$33*IF(200&lt;$C$6,INDEX(Trayectorias!$H$15:$J$39,MATCH($A21,Trayectorias!$A$15:$A$39,0),$C$5),INDEX(Trayectorias!$E$15:$G$39,MATCH($A21,Trayectorias!$A$15:$A$39,0),$C$5))+Parametros_PV!$C$17*(200/8)^Parametros_PV!$C$34*INDEX(Trayectorias!$K$15:$M$39,MATCH($A21,Trayectorias!$A$15:$A$39,0),$C$5)+Parametros_PV!$C$18*INDEX(Trayectorias!$K$15:$M$39,MATCH($A21,Trayectorias!$A$15:$A$39,0),$C$5))*Parametros_PV!$C$20</f>
        <v>409.67101995649222</v>
      </c>
    </row>
    <row r="22" spans="1:8" x14ac:dyDescent="0.35">
      <c r="A22" s="32">
        <v>2038</v>
      </c>
      <c r="B22" s="24">
        <f>(Parametros_PV!$C$16*(1/8)^Parametros_PV!$C$33*IF(1&lt;$C$6,INDEX(Trayectorias!$H$15:$J$39,MATCH($A22,Trayectorias!$A$15:$A$39,0),$C$5),INDEX(Trayectorias!$E$15:$G$39,MATCH($A22,Trayectorias!$A$15:$A$39,0),$C$5))+Parametros_PV!$C$17*(1/8)^Parametros_PV!$C$34*INDEX(Trayectorias!$K$15:$M$39,MATCH($A22,Trayectorias!$A$15:$A$39,0),$C$5)+Parametros_PV!$C$18*INDEX(Trayectorias!$K$15:$M$39,MATCH($A22,Trayectorias!$A$15:$A$39,0),$C$5))*Parametros_PV!$C$20</f>
        <v>634.83822984486312</v>
      </c>
      <c r="C22" s="24">
        <f>(Parametros_PV!$C$16*(5/8)^Parametros_PV!$C$33*IF(5&lt;$C$6,INDEX(Trayectorias!$H$15:$J$39,MATCH($A22,Trayectorias!$A$15:$A$39,0),$C$5),INDEX(Trayectorias!$E$15:$G$39,MATCH($A22,Trayectorias!$A$15:$A$39,0),$C$5))+Parametros_PV!$C$17*(5/8)^Parametros_PV!$C$34*INDEX(Trayectorias!$K$15:$M$39,MATCH($A22,Trayectorias!$A$15:$A$39,0),$C$5)+Parametros_PV!$C$18*INDEX(Trayectorias!$K$15:$M$39,MATCH($A22,Trayectorias!$A$15:$A$39,0),$C$5))*Parametros_PV!$C$20</f>
        <v>568.08645322637665</v>
      </c>
      <c r="D22" s="24">
        <f>(Parametros_PV!$C$16*(10/8)^Parametros_PV!$C$33*IF(10&lt;$C$6,INDEX(Trayectorias!$H$15:$J$39,MATCH($A22,Trayectorias!$A$15:$A$39,0),$C$5),INDEX(Trayectorias!$E$15:$G$39,MATCH($A22,Trayectorias!$A$15:$A$39,0),$C$5))+Parametros_PV!$C$17*(10/8)^Parametros_PV!$C$34*INDEX(Trayectorias!$K$15:$M$39,MATCH($A22,Trayectorias!$A$15:$A$39,0),$C$5)+Parametros_PV!$C$18*INDEX(Trayectorias!$K$15:$M$39,MATCH($A22,Trayectorias!$A$15:$A$39,0),$C$5))*Parametros_PV!$C$20</f>
        <v>489.61418171438203</v>
      </c>
      <c r="E22" s="24">
        <f>(Parametros_PV!$C$16*(20/8)^Parametros_PV!$C$33*IF(20&lt;$C$6,INDEX(Trayectorias!$H$15:$J$39,MATCH($A22,Trayectorias!$A$15:$A$39,0),$C$5),INDEX(Trayectorias!$E$15:$G$39,MATCH($A22,Trayectorias!$A$15:$A$39,0),$C$5))+Parametros_PV!$C$17*(20/8)^Parametros_PV!$C$34*INDEX(Trayectorias!$K$15:$M$39,MATCH($A22,Trayectorias!$A$15:$A$39,0),$C$5)+Parametros_PV!$C$18*INDEX(Trayectorias!$K$15:$M$39,MATCH($A22,Trayectorias!$A$15:$A$39,0),$C$5))*Parametros_PV!$C$20</f>
        <v>467.92394876919269</v>
      </c>
      <c r="F22" s="24">
        <f>(Parametros_PV!$C$16*(50/8)^Parametros_PV!$C$33*IF(50&lt;$C$6,INDEX(Trayectorias!$H$15:$J$39,MATCH($A22,Trayectorias!$A$15:$A$39,0),$C$5),INDEX(Trayectorias!$E$15:$G$39,MATCH($A22,Trayectorias!$A$15:$A$39,0),$C$5))+Parametros_PV!$C$17*(50/8)^Parametros_PV!$C$34*INDEX(Trayectorias!$K$15:$M$39,MATCH($A22,Trayectorias!$A$15:$A$39,0),$C$5)+Parametros_PV!$C$18*INDEX(Trayectorias!$K$15:$M$39,MATCH($A22,Trayectorias!$A$15:$A$39,0),$C$5))*Parametros_PV!$C$20</f>
        <v>440.95312341469332</v>
      </c>
      <c r="G22" s="24">
        <f>(Parametros_PV!$C$16*(100/8)^Parametros_PV!$C$33*IF(100&lt;$C$6,INDEX(Trayectorias!$H$15:$J$39,MATCH($A22,Trayectorias!$A$15:$A$39,0),$C$5),INDEX(Trayectorias!$E$15:$G$39,MATCH($A22,Trayectorias!$A$15:$A$39,0),$C$5))+Parametros_PV!$C$17*(100/8)^Parametros_PV!$C$34*INDEX(Trayectorias!$K$15:$M$39,MATCH($A22,Trayectorias!$A$15:$A$39,0),$C$5)+Parametros_PV!$C$18*INDEX(Trayectorias!$K$15:$M$39,MATCH($A22,Trayectorias!$A$15:$A$39,0),$C$5))*Parametros_PV!$C$20</f>
        <v>421.76219325089079</v>
      </c>
      <c r="H22" s="24">
        <f>(Parametros_PV!$C$16*(200/8)^Parametros_PV!$C$33*IF(200&lt;$C$6,INDEX(Trayectorias!$H$15:$J$39,MATCH($A22,Trayectorias!$A$15:$A$39,0),$C$5),INDEX(Trayectorias!$E$15:$G$39,MATCH($A22,Trayectorias!$A$15:$A$39,0),$C$5))+Parametros_PV!$C$17*(200/8)^Parametros_PV!$C$34*INDEX(Trayectorias!$K$15:$M$39,MATCH($A22,Trayectorias!$A$15:$A$39,0),$C$5)+Parametros_PV!$C$18*INDEX(Trayectorias!$K$15:$M$39,MATCH($A22,Trayectorias!$A$15:$A$39,0),$C$5))*Parametros_PV!$C$20</f>
        <v>403.55350291842717</v>
      </c>
    </row>
    <row r="23" spans="1:8" x14ac:dyDescent="0.35">
      <c r="A23" s="32">
        <v>2039</v>
      </c>
      <c r="B23" s="24">
        <f>(Parametros_PV!$C$16*(1/8)^Parametros_PV!$C$33*IF(1&lt;$C$6,INDEX(Trayectorias!$H$15:$J$39,MATCH($A23,Trayectorias!$A$15:$A$39,0),$C$5),INDEX(Trayectorias!$E$15:$G$39,MATCH($A23,Trayectorias!$A$15:$A$39,0),$C$5))+Parametros_PV!$C$17*(1/8)^Parametros_PV!$C$34*INDEX(Trayectorias!$K$15:$M$39,MATCH($A23,Trayectorias!$A$15:$A$39,0),$C$5)+Parametros_PV!$C$18*INDEX(Trayectorias!$K$15:$M$39,MATCH($A23,Trayectorias!$A$15:$A$39,0),$C$5))*Parametros_PV!$C$20</f>
        <v>623.51746165905456</v>
      </c>
      <c r="C23" s="24">
        <f>(Parametros_PV!$C$16*(5/8)^Parametros_PV!$C$33*IF(5&lt;$C$6,INDEX(Trayectorias!$H$15:$J$39,MATCH($A23,Trayectorias!$A$15:$A$39,0),$C$5),INDEX(Trayectorias!$E$15:$G$39,MATCH($A23,Trayectorias!$A$15:$A$39,0),$C$5))+Parametros_PV!$C$17*(5/8)^Parametros_PV!$C$34*INDEX(Trayectorias!$K$15:$M$39,MATCH($A23,Trayectorias!$A$15:$A$39,0),$C$5)+Parametros_PV!$C$18*INDEX(Trayectorias!$K$15:$M$39,MATCH($A23,Trayectorias!$A$15:$A$39,0),$C$5))*Parametros_PV!$C$20</f>
        <v>558.16408392037818</v>
      </c>
      <c r="D23" s="24">
        <f>(Parametros_PV!$C$16*(10/8)^Parametros_PV!$C$33*IF(10&lt;$C$6,INDEX(Trayectorias!$H$15:$J$39,MATCH($A23,Trayectorias!$A$15:$A$39,0),$C$5),INDEX(Trayectorias!$E$15:$G$39,MATCH($A23,Trayectorias!$A$15:$A$39,0),$C$5))+Parametros_PV!$C$17*(10/8)^Parametros_PV!$C$34*INDEX(Trayectorias!$K$15:$M$39,MATCH($A23,Trayectorias!$A$15:$A$39,0),$C$5)+Parametros_PV!$C$18*INDEX(Trayectorias!$K$15:$M$39,MATCH($A23,Trayectorias!$A$15:$A$39,0),$C$5))*Parametros_PV!$C$20</f>
        <v>482.04930335651693</v>
      </c>
      <c r="E23" s="24">
        <f>(Parametros_PV!$C$16*(20/8)^Parametros_PV!$C$33*IF(20&lt;$C$6,INDEX(Trayectorias!$H$15:$J$39,MATCH($A23,Trayectorias!$A$15:$A$39,0),$C$5),INDEX(Trayectorias!$E$15:$G$39,MATCH($A23,Trayectorias!$A$15:$A$39,0),$C$5))+Parametros_PV!$C$17*(20/8)^Parametros_PV!$C$34*INDEX(Trayectorias!$K$15:$M$39,MATCH($A23,Trayectorias!$A$15:$A$39,0),$C$5)+Parametros_PV!$C$18*INDEX(Trayectorias!$K$15:$M$39,MATCH($A23,Trayectorias!$A$15:$A$39,0),$C$5))*Parametros_PV!$C$20</f>
        <v>460.76193666140273</v>
      </c>
      <c r="F23" s="24">
        <f>(Parametros_PV!$C$16*(50/8)^Parametros_PV!$C$33*IF(50&lt;$C$6,INDEX(Trayectorias!$H$15:$J$39,MATCH($A23,Trayectorias!$A$15:$A$39,0),$C$5),INDEX(Trayectorias!$E$15:$G$39,MATCH($A23,Trayectorias!$A$15:$A$39,0),$C$5))+Parametros_PV!$C$17*(50/8)^Parametros_PV!$C$34*INDEX(Trayectorias!$K$15:$M$39,MATCH($A23,Trayectorias!$A$15:$A$39,0),$C$5)+Parametros_PV!$C$18*INDEX(Trayectorias!$K$15:$M$39,MATCH($A23,Trayectorias!$A$15:$A$39,0),$C$5))*Parametros_PV!$C$20</f>
        <v>434.2884923457039</v>
      </c>
      <c r="G23" s="24">
        <f>(Parametros_PV!$C$16*(100/8)^Parametros_PV!$C$33*IF(100&lt;$C$6,INDEX(Trayectorias!$H$15:$J$39,MATCH($A23,Trayectorias!$A$15:$A$39,0),$C$5),INDEX(Trayectorias!$E$15:$G$39,MATCH($A23,Trayectorias!$A$15:$A$39,0),$C$5))+Parametros_PV!$C$17*(100/8)^Parametros_PV!$C$34*INDEX(Trayectorias!$K$15:$M$39,MATCH($A23,Trayectorias!$A$15:$A$39,0),$C$5)+Parametros_PV!$C$18*INDEX(Trayectorias!$K$15:$M$39,MATCH($A23,Trayectorias!$A$15:$A$39,0),$C$5))*Parametros_PV!$C$20</f>
        <v>415.44891668156163</v>
      </c>
      <c r="H23" s="24">
        <f>(Parametros_PV!$C$16*(200/8)^Parametros_PV!$C$33*IF(200&lt;$C$6,INDEX(Trayectorias!$H$15:$J$39,MATCH($A23,Trayectorias!$A$15:$A$39,0),$C$5),INDEX(Trayectorias!$E$15:$G$39,MATCH($A23,Trayectorias!$A$15:$A$39,0),$C$5))+Parametros_PV!$C$17*(200/8)^Parametros_PV!$C$34*INDEX(Trayectorias!$K$15:$M$39,MATCH($A23,Trayectorias!$A$15:$A$39,0),$C$5)+Parametros_PV!$C$18*INDEX(Trayectorias!$K$15:$M$39,MATCH($A23,Trayectorias!$A$15:$A$39,0),$C$5))*Parametros_PV!$C$20</f>
        <v>397.57151432658827</v>
      </c>
    </row>
    <row r="24" spans="1:8" x14ac:dyDescent="0.35">
      <c r="A24" s="32">
        <v>2040</v>
      </c>
      <c r="B24" s="24">
        <f>(Parametros_PV!$C$16*(1/8)^Parametros_PV!$C$33*IF(1&lt;$C$6,INDEX(Trayectorias!$H$15:$J$39,MATCH($A24,Trayectorias!$A$15:$A$39,0),$C$5),INDEX(Trayectorias!$E$15:$G$39,MATCH($A24,Trayectorias!$A$15:$A$39,0),$C$5))+Parametros_PV!$C$17*(1/8)^Parametros_PV!$C$34*INDEX(Trayectorias!$K$15:$M$39,MATCH($A24,Trayectorias!$A$15:$A$39,0),$C$5)+Parametros_PV!$C$18*INDEX(Trayectorias!$K$15:$M$39,MATCH($A24,Trayectorias!$A$15:$A$39,0),$C$5))*Parametros_PV!$C$20</f>
        <v>612.48147342998266</v>
      </c>
      <c r="C24" s="24">
        <f>(Parametros_PV!$C$16*(5/8)^Parametros_PV!$C$33*IF(5&lt;$C$6,INDEX(Trayectorias!$H$15:$J$39,MATCH($A24,Trayectorias!$A$15:$A$39,0),$C$5),INDEX(Trayectorias!$E$15:$G$39,MATCH($A24,Trayectorias!$A$15:$A$39,0),$C$5))+Parametros_PV!$C$17*(5/8)^Parametros_PV!$C$34*INDEX(Trayectorias!$K$15:$M$39,MATCH($A24,Trayectorias!$A$15:$A$39,0),$C$5)+Parametros_PV!$C$18*INDEX(Trayectorias!$K$15:$M$39,MATCH($A24,Trayectorias!$A$15:$A$39,0),$C$5))*Parametros_PV!$C$20</f>
        <v>548.488832101095</v>
      </c>
      <c r="D24" s="24">
        <f>(Parametros_PV!$C$16*(10/8)^Parametros_PV!$C$33*IF(10&lt;$C$6,INDEX(Trayectorias!$H$15:$J$39,MATCH($A24,Trayectorias!$A$15:$A$39,0),$C$5),INDEX(Trayectorias!$E$15:$G$39,MATCH($A24,Trayectorias!$A$15:$A$39,0),$C$5))+Parametros_PV!$C$17*(10/8)^Parametros_PV!$C$34*INDEX(Trayectorias!$K$15:$M$39,MATCH($A24,Trayectorias!$A$15:$A$39,0),$C$5)+Parametros_PV!$C$18*INDEX(Trayectorias!$K$15:$M$39,MATCH($A24,Trayectorias!$A$15:$A$39,0),$C$5))*Parametros_PV!$C$20</f>
        <v>474.65547896205555</v>
      </c>
      <c r="E24" s="24">
        <f>(Parametros_PV!$C$16*(20/8)^Parametros_PV!$C$33*IF(20&lt;$C$6,INDEX(Trayectorias!$H$15:$J$39,MATCH($A24,Trayectorias!$A$15:$A$39,0),$C$5),INDEX(Trayectorias!$E$15:$G$39,MATCH($A24,Trayectorias!$A$15:$A$39,0),$C$5))+Parametros_PV!$C$17*(20/8)^Parametros_PV!$C$34*INDEX(Trayectorias!$K$15:$M$39,MATCH($A24,Trayectorias!$A$15:$A$39,0),$C$5)+Parametros_PV!$C$18*INDEX(Trayectorias!$K$15:$M$39,MATCH($A24,Trayectorias!$A$15:$A$39,0),$C$5))*Parametros_PV!$C$20</f>
        <v>453.76097572403103</v>
      </c>
      <c r="F24" s="24">
        <f>(Parametros_PV!$C$16*(50/8)^Parametros_PV!$C$33*IF(50&lt;$C$6,INDEX(Trayectorias!$H$15:$J$39,MATCH($A24,Trayectorias!$A$15:$A$39,0),$C$5),INDEX(Trayectorias!$E$15:$G$39,MATCH($A24,Trayectorias!$A$15:$A$39,0),$C$5))+Parametros_PV!$C$17*(50/8)^Parametros_PV!$C$34*INDEX(Trayectorias!$K$15:$M$39,MATCH($A24,Trayectorias!$A$15:$A$39,0),$C$5)+Parametros_PV!$C$18*INDEX(Trayectorias!$K$15:$M$39,MATCH($A24,Trayectorias!$A$15:$A$39,0),$C$5))*Parametros_PV!$C$20</f>
        <v>427.77260205102613</v>
      </c>
      <c r="G24" s="24">
        <f>(Parametros_PV!$C$16*(100/8)^Parametros_PV!$C$33*IF(100&lt;$C$6,INDEX(Trayectorias!$H$15:$J$39,MATCH($A24,Trayectorias!$A$15:$A$39,0),$C$5),INDEX(Trayectorias!$E$15:$G$39,MATCH($A24,Trayectorias!$A$15:$A$39,0),$C$5))+Parametros_PV!$C$17*(100/8)^Parametros_PV!$C$34*INDEX(Trayectorias!$K$15:$M$39,MATCH($A24,Trayectorias!$A$15:$A$39,0),$C$5)+Parametros_PV!$C$18*INDEX(Trayectorias!$K$15:$M$39,MATCH($A24,Trayectorias!$A$15:$A$39,0),$C$5))*Parametros_PV!$C$20</f>
        <v>409.27571293129563</v>
      </c>
      <c r="H24" s="24">
        <f>(Parametros_PV!$C$16*(200/8)^Parametros_PV!$C$33*IF(200&lt;$C$6,INDEX(Trayectorias!$H$15:$J$39,MATCH($A24,Trayectorias!$A$15:$A$39,0),$C$5),INDEX(Trayectorias!$E$15:$G$39,MATCH($A24,Trayectorias!$A$15:$A$39,0),$C$5))+Parametros_PV!$C$17*(200/8)^Parametros_PV!$C$34*INDEX(Trayectorias!$K$15:$M$39,MATCH($A24,Trayectorias!$A$15:$A$39,0),$C$5)+Parametros_PV!$C$18*INDEX(Trayectorias!$K$15:$M$39,MATCH($A24,Trayectorias!$A$15:$A$39,0),$C$5))*Parametros_PV!$C$20</f>
        <v>391.72144882904757</v>
      </c>
    </row>
    <row r="25" spans="1:8" x14ac:dyDescent="0.35">
      <c r="A25" s="32">
        <v>2041</v>
      </c>
      <c r="B25" s="24">
        <f>(Parametros_PV!$C$16*(1/8)^Parametros_PV!$C$33*IF(1&lt;$C$6,INDEX(Trayectorias!$H$15:$J$39,MATCH($A25,Trayectorias!$A$15:$A$39,0),$C$5),INDEX(Trayectorias!$E$15:$G$39,MATCH($A25,Trayectorias!$A$15:$A$39,0),$C$5))+Parametros_PV!$C$17*(1/8)^Parametros_PV!$C$34*INDEX(Trayectorias!$K$15:$M$39,MATCH($A25,Trayectorias!$A$15:$A$39,0),$C$5)+Parametros_PV!$C$18*INDEX(Trayectorias!$K$15:$M$39,MATCH($A25,Trayectorias!$A$15:$A$39,0),$C$5))*Parametros_PV!$C$20</f>
        <v>601.72211114487595</v>
      </c>
      <c r="C25" s="24">
        <f>(Parametros_PV!$C$16*(5/8)^Parametros_PV!$C$33*IF(5&lt;$C$6,INDEX(Trayectorias!$H$15:$J$39,MATCH($A25,Trayectorias!$A$15:$A$39,0),$C$5),INDEX(Trayectorias!$E$15:$G$39,MATCH($A25,Trayectorias!$A$15:$A$39,0),$C$5))+Parametros_PV!$C$17*(5/8)^Parametros_PV!$C$34*INDEX(Trayectorias!$K$15:$M$39,MATCH($A25,Trayectorias!$A$15:$A$39,0),$C$5)+Parametros_PV!$C$18*INDEX(Trayectorias!$K$15:$M$39,MATCH($A25,Trayectorias!$A$15:$A$39,0),$C$5))*Parametros_PV!$C$20</f>
        <v>539.0536431744323</v>
      </c>
      <c r="D25" s="24">
        <f>(Parametros_PV!$C$16*(10/8)^Parametros_PV!$C$33*IF(10&lt;$C$6,INDEX(Trayectorias!$H$15:$J$39,MATCH($A25,Trayectorias!$A$15:$A$39,0),$C$5),INDEX(Trayectorias!$E$15:$G$39,MATCH($A25,Trayectorias!$A$15:$A$39,0),$C$5))+Parametros_PV!$C$17*(10/8)^Parametros_PV!$C$34*INDEX(Trayectorias!$K$15:$M$39,MATCH($A25,Trayectorias!$A$15:$A$39,0),$C$5)+Parametros_PV!$C$18*INDEX(Trayectorias!$K$15:$M$39,MATCH($A25,Trayectorias!$A$15:$A$39,0),$C$5))*Parametros_PV!$C$20</f>
        <v>467.42812629437094</v>
      </c>
      <c r="E25" s="24">
        <f>(Parametros_PV!$C$16*(20/8)^Parametros_PV!$C$33*IF(20&lt;$C$6,INDEX(Trayectorias!$H$15:$J$39,MATCH($A25,Trayectorias!$A$15:$A$39,0),$C$5),INDEX(Trayectorias!$E$15:$G$39,MATCH($A25,Trayectorias!$A$15:$A$39,0),$C$5))+Parametros_PV!$C$17*(20/8)^Parametros_PV!$C$34*INDEX(Trayectorias!$K$15:$M$39,MATCH($A25,Trayectorias!$A$15:$A$39,0),$C$5)+Parametros_PV!$C$18*INDEX(Trayectorias!$K$15:$M$39,MATCH($A25,Trayectorias!$A$15:$A$39,0),$C$5))*Parametros_PV!$C$20</f>
        <v>446.91675972838368</v>
      </c>
      <c r="F25" s="24">
        <f>(Parametros_PV!$C$16*(50/8)^Parametros_PV!$C$33*IF(50&lt;$C$6,INDEX(Trayectorias!$H$15:$J$39,MATCH($A25,Trayectorias!$A$15:$A$39,0),$C$5),INDEX(Trayectorias!$E$15:$G$39,MATCH($A25,Trayectorias!$A$15:$A$39,0),$C$5))+Parametros_PV!$C$17*(50/8)^Parametros_PV!$C$34*INDEX(Trayectorias!$K$15:$M$39,MATCH($A25,Trayectorias!$A$15:$A$39,0),$C$5)+Parametros_PV!$C$18*INDEX(Trayectorias!$K$15:$M$39,MATCH($A25,Trayectorias!$A$15:$A$39,0),$C$5))*Parametros_PV!$C$20</f>
        <v>421.40148566281238</v>
      </c>
      <c r="G25" s="24">
        <f>(Parametros_PV!$C$16*(100/8)^Parametros_PV!$C$33*IF(100&lt;$C$6,INDEX(Trayectorias!$H$15:$J$39,MATCH($A25,Trayectorias!$A$15:$A$39,0),$C$5),INDEX(Trayectorias!$E$15:$G$39,MATCH($A25,Trayectorias!$A$15:$A$39,0),$C$5))+Parametros_PV!$C$17*(100/8)^Parametros_PV!$C$34*INDEX(Trayectorias!$K$15:$M$39,MATCH($A25,Trayectorias!$A$15:$A$39,0),$C$5)+Parametros_PV!$C$18*INDEX(Trayectorias!$K$15:$M$39,MATCH($A25,Trayectorias!$A$15:$A$39,0),$C$5))*Parametros_PV!$C$20</f>
        <v>403.23885384953707</v>
      </c>
      <c r="H25" s="24">
        <f>(Parametros_PV!$C$16*(200/8)^Parametros_PV!$C$33*IF(200&lt;$C$6,INDEX(Trayectorias!$H$15:$J$39,MATCH($A25,Trayectorias!$A$15:$A$39,0),$C$5),INDEX(Trayectorias!$E$15:$G$39,MATCH($A25,Trayectorias!$A$15:$A$39,0),$C$5))+Parametros_PV!$C$17*(200/8)^Parametros_PV!$C$34*INDEX(Trayectorias!$K$15:$M$39,MATCH($A25,Trayectorias!$A$15:$A$39,0),$C$5)+Parametros_PV!$C$18*INDEX(Trayectorias!$K$15:$M$39,MATCH($A25,Trayectorias!$A$15:$A$39,0),$C$5))*Parametros_PV!$C$20</f>
        <v>385.99980252884455</v>
      </c>
    </row>
    <row r="26" spans="1:8" x14ac:dyDescent="0.35">
      <c r="A26" s="32">
        <v>2042</v>
      </c>
      <c r="B26" s="24">
        <f>(Parametros_PV!$C$16*(1/8)^Parametros_PV!$C$33*IF(1&lt;$C$6,INDEX(Trayectorias!$H$15:$J$39,MATCH($A26,Trayectorias!$A$15:$A$39,0),$C$5),INDEX(Trayectorias!$E$15:$G$39,MATCH($A26,Trayectorias!$A$15:$A$39,0),$C$5))+Parametros_PV!$C$17*(1/8)^Parametros_PV!$C$34*INDEX(Trayectorias!$K$15:$M$39,MATCH($A26,Trayectorias!$A$15:$A$39,0),$C$5)+Parametros_PV!$C$18*INDEX(Trayectorias!$K$15:$M$39,MATCH($A26,Trayectorias!$A$15:$A$39,0),$C$5))*Parametros_PV!$C$20</f>
        <v>591.23146264670618</v>
      </c>
      <c r="C26" s="24">
        <f>(Parametros_PV!$C$16*(5/8)^Parametros_PV!$C$33*IF(5&lt;$C$6,INDEX(Trayectorias!$H$15:$J$39,MATCH($A26,Trayectorias!$A$15:$A$39,0),$C$5),INDEX(Trayectorias!$E$15:$G$39,MATCH($A26,Trayectorias!$A$15:$A$39,0),$C$5))+Parametros_PV!$C$17*(5/8)^Parametros_PV!$C$34*INDEX(Trayectorias!$K$15:$M$39,MATCH($A26,Trayectorias!$A$15:$A$39,0),$C$5)+Parametros_PV!$C$18*INDEX(Trayectorias!$K$15:$M$39,MATCH($A26,Trayectorias!$A$15:$A$39,0),$C$5))*Parametros_PV!$C$20</f>
        <v>529.85167163571123</v>
      </c>
      <c r="D26" s="24">
        <f>(Parametros_PV!$C$16*(10/8)^Parametros_PV!$C$33*IF(10&lt;$C$6,INDEX(Trayectorias!$H$15:$J$39,MATCH($A26,Trayectorias!$A$15:$A$39,0),$C$5),INDEX(Trayectorias!$E$15:$G$39,MATCH($A26,Trayectorias!$A$15:$A$39,0),$C$5))+Parametros_PV!$C$17*(10/8)^Parametros_PV!$C$34*INDEX(Trayectorias!$K$15:$M$39,MATCH($A26,Trayectorias!$A$15:$A$39,0),$C$5)+Parametros_PV!$C$18*INDEX(Trayectorias!$K$15:$M$39,MATCH($A26,Trayectorias!$A$15:$A$39,0),$C$5))*Parametros_PV!$C$20</f>
        <v>460.36279230524127</v>
      </c>
      <c r="E26" s="24">
        <f>(Parametros_PV!$C$16*(20/8)^Parametros_PV!$C$33*IF(20&lt;$C$6,INDEX(Trayectorias!$H$15:$J$39,MATCH($A26,Trayectorias!$A$15:$A$39,0),$C$5),INDEX(Trayectorias!$E$15:$G$39,MATCH($A26,Trayectorias!$A$15:$A$39,0),$C$5))+Parametros_PV!$C$17*(20/8)^Parametros_PV!$C$34*INDEX(Trayectorias!$K$15:$M$39,MATCH($A26,Trayectorias!$A$15:$A$39,0),$C$5)+Parametros_PV!$C$18*INDEX(Trayectorias!$K$15:$M$39,MATCH($A26,Trayectorias!$A$15:$A$39,0),$C$5))*Parametros_PV!$C$20</f>
        <v>440.22510379135724</v>
      </c>
      <c r="F26" s="24">
        <f>(Parametros_PV!$C$16*(50/8)^Parametros_PV!$C$33*IF(50&lt;$C$6,INDEX(Trayectorias!$H$15:$J$39,MATCH($A26,Trayectorias!$A$15:$A$39,0),$C$5),INDEX(Trayectorias!$E$15:$G$39,MATCH($A26,Trayectorias!$A$15:$A$39,0),$C$5))+Parametros_PV!$C$17*(50/8)^Parametros_PV!$C$34*INDEX(Trayectorias!$K$15:$M$39,MATCH($A26,Trayectorias!$A$15:$A$39,0),$C$5)+Parametros_PV!$C$18*INDEX(Trayectorias!$K$15:$M$39,MATCH($A26,Trayectorias!$A$15:$A$39,0),$C$5))*Parametros_PV!$C$20</f>
        <v>415.17128801817694</v>
      </c>
      <c r="G26" s="24">
        <f>(Parametros_PV!$C$16*(100/8)^Parametros_PV!$C$33*IF(100&lt;$C$6,INDEX(Trayectorias!$H$15:$J$39,MATCH($A26,Trayectorias!$A$15:$A$39,0),$C$5),INDEX(Trayectorias!$E$15:$G$39,MATCH($A26,Trayectorias!$A$15:$A$39,0),$C$5))+Parametros_PV!$C$17*(100/8)^Parametros_PV!$C$34*INDEX(Trayectorias!$K$15:$M$39,MATCH($A26,Trayectorias!$A$15:$A$39,0),$C$5)+Parametros_PV!$C$18*INDEX(Trayectorias!$K$15:$M$39,MATCH($A26,Trayectorias!$A$15:$A$39,0),$C$5))*Parametros_PV!$C$20</f>
        <v>397.33471621088142</v>
      </c>
      <c r="H26" s="24">
        <f>(Parametros_PV!$C$16*(200/8)^Parametros_PV!$C$33*IF(200&lt;$C$6,INDEX(Trayectorias!$H$15:$J$39,MATCH($A26,Trayectorias!$A$15:$A$39,0),$C$5),INDEX(Trayectorias!$E$15:$G$39,MATCH($A26,Trayectorias!$A$15:$A$39,0),$C$5))+Parametros_PV!$C$17*(200/8)^Parametros_PV!$C$34*INDEX(Trayectorias!$K$15:$M$39,MATCH($A26,Trayectorias!$A$15:$A$39,0),$C$5)+Parametros_PV!$C$18*INDEX(Trayectorias!$K$15:$M$39,MATCH($A26,Trayectorias!$A$15:$A$39,0),$C$5))*Parametros_PV!$C$20</f>
        <v>380.40317008656075</v>
      </c>
    </row>
    <row r="27" spans="1:8" x14ac:dyDescent="0.35">
      <c r="A27" s="32">
        <v>2043</v>
      </c>
      <c r="B27" s="24">
        <f>(Parametros_PV!$C$16*(1/8)^Parametros_PV!$C$33*IF(1&lt;$C$6,INDEX(Trayectorias!$H$15:$J$39,MATCH($A27,Trayectorias!$A$15:$A$39,0),$C$5),INDEX(Trayectorias!$E$15:$G$39,MATCH($A27,Trayectorias!$A$15:$A$39,0),$C$5))+Parametros_PV!$C$17*(1/8)^Parametros_PV!$C$34*INDEX(Trayectorias!$K$15:$M$39,MATCH($A27,Trayectorias!$A$15:$A$39,0),$C$5)+Parametros_PV!$C$18*INDEX(Trayectorias!$K$15:$M$39,MATCH($A27,Trayectorias!$A$15:$A$39,0),$C$5))*Parametros_PV!$C$20</f>
        <v>581.0018503981446</v>
      </c>
      <c r="C27" s="24">
        <f>(Parametros_PV!$C$16*(5/8)^Parametros_PV!$C$33*IF(5&lt;$C$6,INDEX(Trayectorias!$H$15:$J$39,MATCH($A27,Trayectorias!$A$15:$A$39,0),$C$5),INDEX(Trayectorias!$E$15:$G$39,MATCH($A27,Trayectorias!$A$15:$A$39,0),$C$5))+Parametros_PV!$C$17*(5/8)^Parametros_PV!$C$34*INDEX(Trayectorias!$K$15:$M$39,MATCH($A27,Trayectorias!$A$15:$A$39,0),$C$5)+Parametros_PV!$C$18*INDEX(Trayectorias!$K$15:$M$39,MATCH($A27,Trayectorias!$A$15:$A$39,0),$C$5))*Parametros_PV!$C$20</f>
        <v>520.87627481508059</v>
      </c>
      <c r="D27" s="24">
        <f>(Parametros_PV!$C$16*(10/8)^Parametros_PV!$C$33*IF(10&lt;$C$6,INDEX(Trayectorias!$H$15:$J$39,MATCH($A27,Trayectorias!$A$15:$A$39,0),$C$5),INDEX(Trayectorias!$E$15:$G$39,MATCH($A27,Trayectorias!$A$15:$A$39,0),$C$5))+Parametros_PV!$C$17*(10/8)^Parametros_PV!$C$34*INDEX(Trayectorias!$K$15:$M$39,MATCH($A27,Trayectorias!$A$15:$A$39,0),$C$5)+Parametros_PV!$C$18*INDEX(Trayectorias!$K$15:$M$39,MATCH($A27,Trayectorias!$A$15:$A$39,0),$C$5))*Parametros_PV!$C$20</f>
        <v>453.45514944362748</v>
      </c>
      <c r="E27" s="24">
        <f>(Parametros_PV!$C$16*(20/8)^Parametros_PV!$C$33*IF(20&lt;$C$6,INDEX(Trayectorias!$H$15:$J$39,MATCH($A27,Trayectorias!$A$15:$A$39,0),$C$5),INDEX(Trayectorias!$E$15:$G$39,MATCH($A27,Trayectorias!$A$15:$A$39,0),$C$5))+Parametros_PV!$C$17*(20/8)^Parametros_PV!$C$34*INDEX(Trayectorias!$K$15:$M$39,MATCH($A27,Trayectorias!$A$15:$A$39,0),$C$5)+Parametros_PV!$C$18*INDEX(Trayectorias!$K$15:$M$39,MATCH($A27,Trayectorias!$A$15:$A$39,0),$C$5))*Parametros_PV!$C$20</f>
        <v>433.68194090874653</v>
      </c>
      <c r="F27" s="24">
        <f>(Parametros_PV!$C$16*(50/8)^Parametros_PV!$C$33*IF(50&lt;$C$6,INDEX(Trayectorias!$H$15:$J$39,MATCH($A27,Trayectorias!$A$15:$A$39,0),$C$5),INDEX(Trayectorias!$E$15:$G$39,MATCH($A27,Trayectorias!$A$15:$A$39,0),$C$5))+Parametros_PV!$C$17*(50/8)^Parametros_PV!$C$34*INDEX(Trayectorias!$K$15:$M$39,MATCH($A27,Trayectorias!$A$15:$A$39,0),$C$5)+Parametros_PV!$C$18*INDEX(Trayectorias!$K$15:$M$39,MATCH($A27,Trayectorias!$A$15:$A$39,0),$C$5))*Parametros_PV!$C$20</f>
        <v>409.07826246848583</v>
      </c>
      <c r="G27" s="24">
        <f>(Parametros_PV!$C$16*(100/8)^Parametros_PV!$C$33*IF(100&lt;$C$6,INDEX(Trayectorias!$H$15:$J$39,MATCH($A27,Trayectorias!$A$15:$A$39,0),$C$5),INDEX(Trayectorias!$E$15:$G$39,MATCH($A27,Trayectorias!$A$15:$A$39,0),$C$5))+Parametros_PV!$C$17*(100/8)^Parametros_PV!$C$34*INDEX(Trayectorias!$K$15:$M$39,MATCH($A27,Trayectorias!$A$15:$A$39,0),$C$5)+Parametros_PV!$C$18*INDEX(Trayectorias!$K$15:$M$39,MATCH($A27,Trayectorias!$A$15:$A$39,0),$C$5))*Parametros_PV!$C$20</f>
        <v>391.55977871844073</v>
      </c>
      <c r="H27" s="24">
        <f>(Parametros_PV!$C$16*(200/8)^Parametros_PV!$C$33*IF(200&lt;$C$6,INDEX(Trayectorias!$H$15:$J$39,MATCH($A27,Trayectorias!$A$15:$A$39,0),$C$5),INDEX(Trayectorias!$E$15:$G$39,MATCH($A27,Trayectorias!$A$15:$A$39,0),$C$5))+Parametros_PV!$C$17*(200/8)^Parametros_PV!$C$34*INDEX(Trayectorias!$K$15:$M$39,MATCH($A27,Trayectorias!$A$15:$A$39,0),$C$5)+Parametros_PV!$C$18*INDEX(Trayectorias!$K$15:$M$39,MATCH($A27,Trayectorias!$A$15:$A$39,0),$C$5))*Parametros_PV!$C$20</f>
        <v>374.92824190594951</v>
      </c>
    </row>
    <row r="28" spans="1:8" x14ac:dyDescent="0.35">
      <c r="A28" s="32">
        <v>2044</v>
      </c>
      <c r="B28" s="24">
        <f>(Parametros_PV!$C$16*(1/8)^Parametros_PV!$C$33*IF(1&lt;$C$6,INDEX(Trayectorias!$H$15:$J$39,MATCH($A28,Trayectorias!$A$15:$A$39,0),$C$5),INDEX(Trayectorias!$E$15:$G$39,MATCH($A28,Trayectorias!$A$15:$A$39,0),$C$5))+Parametros_PV!$C$17*(1/8)^Parametros_PV!$C$34*INDEX(Trayectorias!$K$15:$M$39,MATCH($A28,Trayectorias!$A$15:$A$39,0),$C$5)+Parametros_PV!$C$18*INDEX(Trayectorias!$K$15:$M$39,MATCH($A28,Trayectorias!$A$15:$A$39,0),$C$5))*Parametros_PV!$C$20</f>
        <v>571.02582446246083</v>
      </c>
      <c r="C28" s="24">
        <f>(Parametros_PV!$C$16*(5/8)^Parametros_PV!$C$33*IF(5&lt;$C$6,INDEX(Trayectorias!$H$15:$J$39,MATCH($A28,Trayectorias!$A$15:$A$39,0),$C$5),INDEX(Trayectorias!$E$15:$G$39,MATCH($A28,Trayectorias!$A$15:$A$39,0),$C$5))+Parametros_PV!$C$17*(5/8)^Parametros_PV!$C$34*INDEX(Trayectorias!$K$15:$M$39,MATCH($A28,Trayectorias!$A$15:$A$39,0),$C$5)+Parametros_PV!$C$18*INDEX(Trayectorias!$K$15:$M$39,MATCH($A28,Trayectorias!$A$15:$A$39,0),$C$5))*Parametros_PV!$C$20</f>
        <v>512.12100681043671</v>
      </c>
      <c r="D28" s="24">
        <f>(Parametros_PV!$C$16*(10/8)^Parametros_PV!$C$33*IF(10&lt;$C$6,INDEX(Trayectorias!$H$15:$J$39,MATCH($A28,Trayectorias!$A$15:$A$39,0),$C$5),INDEX(Trayectorias!$E$15:$G$39,MATCH($A28,Trayectorias!$A$15:$A$39,0),$C$5))+Parametros_PV!$C$17*(10/8)^Parametros_PV!$C$34*INDEX(Trayectorias!$K$15:$M$39,MATCH($A28,Trayectorias!$A$15:$A$39,0),$C$5)+Parametros_PV!$C$18*INDEX(Trayectorias!$K$15:$M$39,MATCH($A28,Trayectorias!$A$15:$A$39,0),$C$5))*Parametros_PV!$C$20</f>
        <v>446.70099207027147</v>
      </c>
      <c r="E28" s="24">
        <f>(Parametros_PV!$C$16*(20/8)^Parametros_PV!$C$33*IF(20&lt;$C$6,INDEX(Trayectorias!$H$15:$J$39,MATCH($A28,Trayectorias!$A$15:$A$39,0),$C$5),INDEX(Trayectorias!$E$15:$G$39,MATCH($A28,Trayectorias!$A$15:$A$39,0),$C$5))+Parametros_PV!$C$17*(20/8)^Parametros_PV!$C$34*INDEX(Trayectorias!$K$15:$M$39,MATCH($A28,Trayectorias!$A$15:$A$39,0),$C$5)+Parametros_PV!$C$18*INDEX(Trayectorias!$K$15:$M$39,MATCH($A28,Trayectorias!$A$15:$A$39,0),$C$5))*Parametros_PV!$C$20</f>
        <v>427.28331858793371</v>
      </c>
      <c r="F28" s="24">
        <f>(Parametros_PV!$C$16*(50/8)^Parametros_PV!$C$33*IF(50&lt;$C$6,INDEX(Trayectorias!$H$15:$J$39,MATCH($A28,Trayectorias!$A$15:$A$39,0),$C$5),INDEX(Trayectorias!$E$15:$G$39,MATCH($A28,Trayectorias!$A$15:$A$39,0),$C$5))+Parametros_PV!$C$17*(50/8)^Parametros_PV!$C$34*INDEX(Trayectorias!$K$15:$M$39,MATCH($A28,Trayectorias!$A$15:$A$39,0),$C$5)+Parametros_PV!$C$18*INDEX(Trayectorias!$K$15:$M$39,MATCH($A28,Trayectorias!$A$15:$A$39,0),$C$5))*Parametros_PV!$C$20</f>
        <v>403.11876778011418</v>
      </c>
      <c r="G28" s="24">
        <f>(Parametros_PV!$C$16*(100/8)^Parametros_PV!$C$33*IF(100&lt;$C$6,INDEX(Trayectorias!$H$15:$J$39,MATCH($A28,Trayectorias!$A$15:$A$39,0),$C$5),INDEX(Trayectorias!$E$15:$G$39,MATCH($A28,Trayectorias!$A$15:$A$39,0),$C$5))+Parametros_PV!$C$17*(100/8)^Parametros_PV!$C$34*INDEX(Trayectorias!$K$15:$M$39,MATCH($A28,Trayectorias!$A$15:$A$39,0),$C$5)+Parametros_PV!$C$18*INDEX(Trayectorias!$K$15:$M$39,MATCH($A28,Trayectorias!$A$15:$A$39,0),$C$5))*Parametros_PV!$C$20</f>
        <v>385.91061909310713</v>
      </c>
      <c r="H28" s="24">
        <f>(Parametros_PV!$C$16*(200/8)^Parametros_PV!$C$33*IF(200&lt;$C$6,INDEX(Trayectorias!$H$15:$J$39,MATCH($A28,Trayectorias!$A$15:$A$39,0),$C$5),INDEX(Trayectorias!$E$15:$G$39,MATCH($A28,Trayectorias!$A$15:$A$39,0),$C$5))+Parametros_PV!$C$17*(200/8)^Parametros_PV!$C$34*INDEX(Trayectorias!$K$15:$M$39,MATCH($A28,Trayectorias!$A$15:$A$39,0),$C$5)+Parametros_PV!$C$18*INDEX(Trayectorias!$K$15:$M$39,MATCH($A28,Trayectorias!$A$15:$A$39,0),$C$5))*Parametros_PV!$C$20</f>
        <v>369.57180140023553</v>
      </c>
    </row>
    <row r="29" spans="1:8" x14ac:dyDescent="0.35">
      <c r="A29" s="32">
        <v>2045</v>
      </c>
      <c r="B29" s="24">
        <f>(Parametros_PV!$C$16*(1/8)^Parametros_PV!$C$33*IF(1&lt;$C$6,INDEX(Trayectorias!$H$15:$J$39,MATCH($A29,Trayectorias!$A$15:$A$39,0),$C$5),INDEX(Trayectorias!$E$15:$G$39,MATCH($A29,Trayectorias!$A$15:$A$39,0),$C$5))+Parametros_PV!$C$17*(1/8)^Parametros_PV!$C$34*INDEX(Trayectorias!$K$15:$M$39,MATCH($A29,Trayectorias!$A$15:$A$39,0),$C$5)+Parametros_PV!$C$18*INDEX(Trayectorias!$K$15:$M$39,MATCH($A29,Trayectorias!$A$15:$A$39,0),$C$5))*Parametros_PV!$C$20</f>
        <v>561.29615569485622</v>
      </c>
      <c r="C29" s="24">
        <f>(Parametros_PV!$C$16*(5/8)^Parametros_PV!$C$33*IF(5&lt;$C$6,INDEX(Trayectorias!$H$15:$J$39,MATCH($A29,Trayectorias!$A$15:$A$39,0),$C$5),INDEX(Trayectorias!$E$15:$G$39,MATCH($A29,Trayectorias!$A$15:$A$39,0),$C$5))+Parametros_PV!$C$17*(5/8)^Parametros_PV!$C$34*INDEX(Trayectorias!$K$15:$M$39,MATCH($A29,Trayectorias!$A$15:$A$39,0),$C$5)+Parametros_PV!$C$18*INDEX(Trayectorias!$K$15:$M$39,MATCH($A29,Trayectorias!$A$15:$A$39,0),$C$5))*Parametros_PV!$C$20</f>
        <v>503.57961260222959</v>
      </c>
      <c r="D29" s="24">
        <f>(Parametros_PV!$C$16*(10/8)^Parametros_PV!$C$33*IF(10&lt;$C$6,INDEX(Trayectorias!$H$15:$J$39,MATCH($A29,Trayectorias!$A$15:$A$39,0),$C$5),INDEX(Trayectorias!$E$15:$G$39,MATCH($A29,Trayectorias!$A$15:$A$39,0),$C$5))+Parametros_PV!$C$17*(10/8)^Parametros_PV!$C$34*INDEX(Trayectorias!$K$15:$M$39,MATCH($A29,Trayectorias!$A$15:$A$39,0),$C$5)+Parametros_PV!$C$18*INDEX(Trayectorias!$K$15:$M$39,MATCH($A29,Trayectorias!$A$15:$A$39,0),$C$5))*Parametros_PV!$C$20</f>
        <v>440.09623297507937</v>
      </c>
      <c r="E29" s="24">
        <f>(Parametros_PV!$C$16*(20/8)^Parametros_PV!$C$33*IF(20&lt;$C$6,INDEX(Trayectorias!$H$15:$J$39,MATCH($A29,Trayectorias!$A$15:$A$39,0),$C$5),INDEX(Trayectorias!$E$15:$G$39,MATCH($A29,Trayectorias!$A$15:$A$39,0),$C$5))+Parametros_PV!$C$17*(20/8)^Parametros_PV!$C$34*INDEX(Trayectorias!$K$15:$M$39,MATCH($A29,Trayectorias!$A$15:$A$39,0),$C$5)+Parametros_PV!$C$18*INDEX(Trayectorias!$K$15:$M$39,MATCH($A29,Trayectorias!$A$15:$A$39,0),$C$5))*Parametros_PV!$C$20</f>
        <v>421.02539557710691</v>
      </c>
      <c r="F29" s="24">
        <f>(Parametros_PV!$C$16*(50/8)^Parametros_PV!$C$33*IF(50&lt;$C$6,INDEX(Trayectorias!$H$15:$J$39,MATCH($A29,Trayectorias!$A$15:$A$39,0),$C$5),INDEX(Trayectorias!$E$15:$G$39,MATCH($A29,Trayectorias!$A$15:$A$39,0),$C$5))+Parametros_PV!$C$17*(50/8)^Parametros_PV!$C$34*INDEX(Trayectorias!$K$15:$M$39,MATCH($A29,Trayectorias!$A$15:$A$39,0),$C$5)+Parametros_PV!$C$18*INDEX(Trayectorias!$K$15:$M$39,MATCH($A29,Trayectorias!$A$15:$A$39,0),$C$5))*Parametros_PV!$C$20</f>
        <v>397.28926512404303</v>
      </c>
      <c r="G29" s="24">
        <f>(Parametros_PV!$C$16*(100/8)^Parametros_PV!$C$33*IF(100&lt;$C$6,INDEX(Trayectorias!$H$15:$J$39,MATCH($A29,Trayectorias!$A$15:$A$39,0),$C$5),INDEX(Trayectorias!$E$15:$G$39,MATCH($A29,Trayectorias!$A$15:$A$39,0),$C$5))+Parametros_PV!$C$17*(100/8)^Parametros_PV!$C$34*INDEX(Trayectorias!$K$15:$M$39,MATCH($A29,Trayectorias!$A$15:$A$39,0),$C$5)+Parametros_PV!$C$18*INDEX(Trayectorias!$K$15:$M$39,MATCH($A29,Trayectorias!$A$15:$A$39,0),$C$5))*Parametros_PV!$C$20</f>
        <v>380.38391124625093</v>
      </c>
      <c r="H29" s="24">
        <f>(Parametros_PV!$C$16*(200/8)^Parametros_PV!$C$33*IF(200&lt;$C$6,INDEX(Trayectorias!$H$15:$J$39,MATCH($A29,Trayectorias!$A$15:$A$39,0),$C$5),INDEX(Trayectorias!$E$15:$G$39,MATCH($A29,Trayectorias!$A$15:$A$39,0),$C$5))+Parametros_PV!$C$17*(200/8)^Parametros_PV!$C$34*INDEX(Trayectorias!$K$15:$M$39,MATCH($A29,Trayectorias!$A$15:$A$39,0),$C$5)+Parametros_PV!$C$18*INDEX(Trayectorias!$K$15:$M$39,MATCH($A29,Trayectorias!$A$15:$A$39,0),$C$5))*Parametros_PV!$C$20</f>
        <v>364.33072233677302</v>
      </c>
    </row>
    <row r="30" spans="1:8" x14ac:dyDescent="0.35">
      <c r="A30" s="32">
        <v>2046</v>
      </c>
      <c r="B30" s="24">
        <f>(Parametros_PV!$C$16*(1/8)^Parametros_PV!$C$33*IF(1&lt;$C$6,INDEX(Trayectorias!$H$15:$J$39,MATCH($A30,Trayectorias!$A$15:$A$39,0),$C$5),INDEX(Trayectorias!$E$15:$G$39,MATCH($A30,Trayectorias!$A$15:$A$39,0),$C$5))+Parametros_PV!$C$17*(1/8)^Parametros_PV!$C$34*INDEX(Trayectorias!$K$15:$M$39,MATCH($A30,Trayectorias!$A$15:$A$39,0),$C$5)+Parametros_PV!$C$18*INDEX(Trayectorias!$K$15:$M$39,MATCH($A30,Trayectorias!$A$15:$A$39,0),$C$5))*Parametros_PV!$C$20</f>
        <v>551.80582913791909</v>
      </c>
      <c r="C30" s="24">
        <f>(Parametros_PV!$C$16*(5/8)^Parametros_PV!$C$33*IF(5&lt;$C$6,INDEX(Trayectorias!$H$15:$J$39,MATCH($A30,Trayectorias!$A$15:$A$39,0),$C$5),INDEX(Trayectorias!$E$15:$G$39,MATCH($A30,Trayectorias!$A$15:$A$39,0),$C$5))+Parametros_PV!$C$17*(5/8)^Parametros_PV!$C$34*INDEX(Trayectorias!$K$15:$M$39,MATCH($A30,Trayectorias!$A$15:$A$39,0),$C$5)+Parametros_PV!$C$18*INDEX(Trayectorias!$K$15:$M$39,MATCH($A30,Trayectorias!$A$15:$A$39,0),$C$5))*Parametros_PV!$C$20</f>
        <v>495.24602234469643</v>
      </c>
      <c r="D30" s="24">
        <f>(Parametros_PV!$C$16*(10/8)^Parametros_PV!$C$33*IF(10&lt;$C$6,INDEX(Trayectorias!$H$15:$J$39,MATCH($A30,Trayectorias!$A$15:$A$39,0),$C$5),INDEX(Trayectorias!$E$15:$G$39,MATCH($A30,Trayectorias!$A$15:$A$39,0),$C$5))+Parametros_PV!$C$17*(10/8)^Parametros_PV!$C$34*INDEX(Trayectorias!$K$15:$M$39,MATCH($A30,Trayectorias!$A$15:$A$39,0),$C$5)+Parametros_PV!$C$18*INDEX(Trayectorias!$K$15:$M$39,MATCH($A30,Trayectorias!$A$15:$A$39,0),$C$5))*Parametros_PV!$C$20</f>
        <v>433.63689999434104</v>
      </c>
      <c r="E30" s="24">
        <f>(Parametros_PV!$C$16*(20/8)^Parametros_PV!$C$33*IF(20&lt;$C$6,INDEX(Trayectorias!$H$15:$J$39,MATCH($A30,Trayectorias!$A$15:$A$39,0),$C$5),INDEX(Trayectorias!$E$15:$G$39,MATCH($A30,Trayectorias!$A$15:$A$39,0),$C$5))+Parametros_PV!$C$17*(20/8)^Parametros_PV!$C$34*INDEX(Trayectorias!$K$15:$M$39,MATCH($A30,Trayectorias!$A$15:$A$39,0),$C$5)+Parametros_PV!$C$18*INDEX(Trayectorias!$K$15:$M$39,MATCH($A30,Trayectorias!$A$15:$A$39,0),$C$5))*Parametros_PV!$C$20</f>
        <v>414.90443868823905</v>
      </c>
      <c r="F30" s="24">
        <f>(Parametros_PV!$C$16*(50/8)^Parametros_PV!$C$33*IF(50&lt;$C$6,INDEX(Trayectorias!$H$15:$J$39,MATCH($A30,Trayectorias!$A$15:$A$39,0),$C$5),INDEX(Trayectorias!$E$15:$G$39,MATCH($A30,Trayectorias!$A$15:$A$39,0),$C$5))+Parametros_PV!$C$17*(50/8)^Parametros_PV!$C$34*INDEX(Trayectorias!$K$15:$M$39,MATCH($A30,Trayectorias!$A$15:$A$39,0),$C$5)+Parametros_PV!$C$18*INDEX(Trayectorias!$K$15:$M$39,MATCH($A30,Trayectorias!$A$15:$A$39,0),$C$5))*Parametros_PV!$C$20</f>
        <v>391.58631515174864</v>
      </c>
      <c r="G30" s="24">
        <f>(Parametros_PV!$C$16*(100/8)^Parametros_PV!$C$33*IF(100&lt;$C$6,INDEX(Trayectorias!$H$15:$J$39,MATCH($A30,Trayectorias!$A$15:$A$39,0),$C$5),INDEX(Trayectorias!$E$15:$G$39,MATCH($A30,Trayectorias!$A$15:$A$39,0),$C$5))+Parametros_PV!$C$17*(100/8)^Parametros_PV!$C$34*INDEX(Trayectorias!$K$15:$M$39,MATCH($A30,Trayectorias!$A$15:$A$39,0),$C$5)+Parametros_PV!$C$18*INDEX(Trayectorias!$K$15:$M$39,MATCH($A30,Trayectorias!$A$15:$A$39,0),$C$5))*Parametros_PV!$C$20</f>
        <v>374.97642253345964</v>
      </c>
      <c r="H30" s="24">
        <f>(Parametros_PV!$C$16*(200/8)^Parametros_PV!$C$33*IF(200&lt;$C$6,INDEX(Trayectorias!$H$15:$J$39,MATCH($A30,Trayectorias!$A$15:$A$39,0),$C$5),INDEX(Trayectorias!$E$15:$G$39,MATCH($A30,Trayectorias!$A$15:$A$39,0),$C$5))+Parametros_PV!$C$17*(200/8)^Parametros_PV!$C$34*INDEX(Trayectorias!$K$15:$M$39,MATCH($A30,Trayectorias!$A$15:$A$39,0),$C$5)+Parametros_PV!$C$18*INDEX(Trayectorias!$K$15:$M$39,MATCH($A30,Trayectorias!$A$15:$A$39,0),$C$5))*Parametros_PV!$C$20</f>
        <v>359.20196625781108</v>
      </c>
    </row>
    <row r="31" spans="1:8" x14ac:dyDescent="0.35">
      <c r="A31" s="32">
        <v>2047</v>
      </c>
      <c r="B31" s="24">
        <f>(Parametros_PV!$C$16*(1/8)^Parametros_PV!$C$33*IF(1&lt;$C$6,INDEX(Trayectorias!$H$15:$J$39,MATCH($A31,Trayectorias!$A$15:$A$39,0),$C$5),INDEX(Trayectorias!$E$15:$G$39,MATCH($A31,Trayectorias!$A$15:$A$39,0),$C$5))+Parametros_PV!$C$17*(1/8)^Parametros_PV!$C$34*INDEX(Trayectorias!$K$15:$M$39,MATCH($A31,Trayectorias!$A$15:$A$39,0),$C$5)+Parametros_PV!$C$18*INDEX(Trayectorias!$K$15:$M$39,MATCH($A31,Trayectorias!$A$15:$A$39,0),$C$5))*Parametros_PV!$C$20</f>
        <v>542.54803761508151</v>
      </c>
      <c r="C31" s="24">
        <f>(Parametros_PV!$C$16*(5/8)^Parametros_PV!$C$33*IF(5&lt;$C$6,INDEX(Trayectorias!$H$15:$J$39,MATCH($A31,Trayectorias!$A$15:$A$39,0),$C$5),INDEX(Trayectorias!$E$15:$G$39,MATCH($A31,Trayectorias!$A$15:$A$39,0),$C$5))+Parametros_PV!$C$17*(5/8)^Parametros_PV!$C$34*INDEX(Trayectorias!$K$15:$M$39,MATCH($A31,Trayectorias!$A$15:$A$39,0),$C$5)+Parametros_PV!$C$18*INDEX(Trayectorias!$K$15:$M$39,MATCH($A31,Trayectorias!$A$15:$A$39,0),$C$5))*Parametros_PV!$C$20</f>
        <v>487.11434582823347</v>
      </c>
      <c r="D31" s="24">
        <f>(Parametros_PV!$C$16*(10/8)^Parametros_PV!$C$33*IF(10&lt;$C$6,INDEX(Trayectorias!$H$15:$J$39,MATCH($A31,Trayectorias!$A$15:$A$39,0),$C$5),INDEX(Trayectorias!$E$15:$G$39,MATCH($A31,Trayectorias!$A$15:$A$39,0),$C$5))+Parametros_PV!$C$17*(10/8)^Parametros_PV!$C$34*INDEX(Trayectorias!$K$15:$M$39,MATCH($A31,Trayectorias!$A$15:$A$39,0),$C$5)+Parametros_PV!$C$18*INDEX(Trayectorias!$K$15:$M$39,MATCH($A31,Trayectorias!$A$15:$A$39,0),$C$5))*Parametros_PV!$C$20</f>
        <v>427.31913272491983</v>
      </c>
      <c r="E31" s="24">
        <f>(Parametros_PV!$C$16*(20/8)^Parametros_PV!$C$33*IF(20&lt;$C$6,INDEX(Trayectorias!$H$15:$J$39,MATCH($A31,Trayectorias!$A$15:$A$39,0),$C$5),INDEX(Trayectorias!$E$15:$G$39,MATCH($A31,Trayectorias!$A$15:$A$39,0),$C$5))+Parametros_PV!$C$17*(20/8)^Parametros_PV!$C$34*INDEX(Trayectorias!$K$15:$M$39,MATCH($A31,Trayectorias!$A$15:$A$39,0),$C$5)+Parametros_PV!$C$18*INDEX(Trayectorias!$K$15:$M$39,MATCH($A31,Trayectorias!$A$15:$A$39,0),$C$5))*Parametros_PV!$C$20</f>
        <v>408.91681971113599</v>
      </c>
      <c r="F31" s="24">
        <f>(Parametros_PV!$C$16*(50/8)^Parametros_PV!$C$33*IF(50&lt;$C$6,INDEX(Trayectorias!$H$15:$J$39,MATCH($A31,Trayectorias!$A$15:$A$39,0),$C$5),INDEX(Trayectorias!$E$15:$G$39,MATCH($A31,Trayectorias!$A$15:$A$39,0),$C$5))+Parametros_PV!$C$17*(50/8)^Parametros_PV!$C$34*INDEX(Trayectorias!$K$15:$M$39,MATCH($A31,Trayectorias!$A$15:$A$39,0),$C$5)+Parametros_PV!$C$18*INDEX(Trayectorias!$K$15:$M$39,MATCH($A31,Trayectorias!$A$15:$A$39,0),$C$5))*Parametros_PV!$C$20</f>
        <v>386.00657515490815</v>
      </c>
      <c r="G31" s="24">
        <f>(Parametros_PV!$C$16*(100/8)^Parametros_PV!$C$33*IF(100&lt;$C$6,INDEX(Trayectorias!$H$15:$J$39,MATCH($A31,Trayectorias!$A$15:$A$39,0),$C$5),INDEX(Trayectorias!$E$15:$G$39,MATCH($A31,Trayectorias!$A$15:$A$39,0),$C$5))+Parametros_PV!$C$17*(100/8)^Parametros_PV!$C$34*INDEX(Trayectorias!$K$15:$M$39,MATCH($A31,Trayectorias!$A$15:$A$39,0),$C$5)+Parametros_PV!$C$18*INDEX(Trayectorias!$K$15:$M$39,MATCH($A31,Trayectorias!$A$15:$A$39,0),$C$5))*Parametros_PV!$C$20</f>
        <v>369.68501108699166</v>
      </c>
      <c r="H31" s="24">
        <f>(Parametros_PV!$C$16*(200/8)^Parametros_PV!$C$33*IF(200&lt;$C$6,INDEX(Trayectorias!$H$15:$J$39,MATCH($A31,Trayectorias!$A$15:$A$39,0),$C$5),INDEX(Trayectorias!$E$15:$G$39,MATCH($A31,Trayectorias!$A$15:$A$39,0),$C$5))+Parametros_PV!$C$17*(200/8)^Parametros_PV!$C$34*INDEX(Trayectorias!$K$15:$M$39,MATCH($A31,Trayectorias!$A$15:$A$39,0),$C$5)+Parametros_PV!$C$18*INDEX(Trayectorias!$K$15:$M$39,MATCH($A31,Trayectorias!$A$15:$A$39,0),$C$5))*Parametros_PV!$C$20</f>
        <v>354.18257997518549</v>
      </c>
    </row>
    <row r="32" spans="1:8" x14ac:dyDescent="0.35">
      <c r="A32" s="32">
        <v>2048</v>
      </c>
      <c r="B32" s="24">
        <f>(Parametros_PV!$C$16*(1/8)^Parametros_PV!$C$33*IF(1&lt;$C$6,INDEX(Trayectorias!$H$15:$J$39,MATCH($A32,Trayectorias!$A$15:$A$39,0),$C$5),INDEX(Trayectorias!$E$15:$G$39,MATCH($A32,Trayectorias!$A$15:$A$39,0),$C$5))+Parametros_PV!$C$17*(1/8)^Parametros_PV!$C$34*INDEX(Trayectorias!$K$15:$M$39,MATCH($A32,Trayectorias!$A$15:$A$39,0),$C$5)+Parametros_PV!$C$18*INDEX(Trayectorias!$K$15:$M$39,MATCH($A32,Trayectorias!$A$15:$A$39,0),$C$5))*Parametros_PV!$C$20</f>
        <v>533.51617551613469</v>
      </c>
      <c r="C32" s="24">
        <f>(Parametros_PV!$C$16*(5/8)^Parametros_PV!$C$33*IF(5&lt;$C$6,INDEX(Trayectorias!$H$15:$J$39,MATCH($A32,Trayectorias!$A$15:$A$39,0),$C$5),INDEX(Trayectorias!$E$15:$G$39,MATCH($A32,Trayectorias!$A$15:$A$39,0),$C$5))+Parametros_PV!$C$17*(5/8)^Parametros_PV!$C$34*INDEX(Trayectorias!$K$15:$M$39,MATCH($A32,Trayectorias!$A$15:$A$39,0),$C$5)+Parametros_PV!$C$18*INDEX(Trayectorias!$K$15:$M$39,MATCH($A32,Trayectorias!$A$15:$A$39,0),$C$5))*Parametros_PV!$C$20</f>
        <v>479.17886710777179</v>
      </c>
      <c r="D32" s="24">
        <f>(Parametros_PV!$C$16*(10/8)^Parametros_PV!$C$33*IF(10&lt;$C$6,INDEX(Trayectorias!$H$15:$J$39,MATCH($A32,Trayectorias!$A$15:$A$39,0),$C$5),INDEX(Trayectorias!$E$15:$G$39,MATCH($A32,Trayectorias!$A$15:$A$39,0),$C$5))+Parametros_PV!$C$17*(10/8)^Parametros_PV!$C$34*INDEX(Trayectorias!$K$15:$M$39,MATCH($A32,Trayectorias!$A$15:$A$39,0),$C$5)+Parametros_PV!$C$18*INDEX(Trayectorias!$K$15:$M$39,MATCH($A32,Trayectorias!$A$15:$A$39,0),$C$5))*Parametros_PV!$C$20</f>
        <v>421.13917933263207</v>
      </c>
      <c r="E32" s="24">
        <f>(Parametros_PV!$C$16*(20/8)^Parametros_PV!$C$33*IF(20&lt;$C$6,INDEX(Trayectorias!$H$15:$J$39,MATCH($A32,Trayectorias!$A$15:$A$39,0),$C$5),INDEX(Trayectorias!$E$15:$G$39,MATCH($A32,Trayectorias!$A$15:$A$39,0),$C$5))+Parametros_PV!$C$17*(20/8)^Parametros_PV!$C$34*INDEX(Trayectorias!$K$15:$M$39,MATCH($A32,Trayectorias!$A$15:$A$39,0),$C$5)+Parametros_PV!$C$18*INDEX(Trayectorias!$K$15:$M$39,MATCH($A32,Trayectorias!$A$15:$A$39,0),$C$5))*Parametros_PV!$C$20</f>
        <v>403.05901241594177</v>
      </c>
      <c r="F32" s="24">
        <f>(Parametros_PV!$C$16*(50/8)^Parametros_PV!$C$33*IF(50&lt;$C$6,INDEX(Trayectorias!$H$15:$J$39,MATCH($A32,Trayectorias!$A$15:$A$39,0),$C$5),INDEX(Trayectorias!$E$15:$G$39,MATCH($A32,Trayectorias!$A$15:$A$39,0),$C$5))+Parametros_PV!$C$17*(50/8)^Parametros_PV!$C$34*INDEX(Trayectorias!$K$15:$M$39,MATCH($A32,Trayectorias!$A$15:$A$39,0),$C$5)+Parametros_PV!$C$18*INDEX(Trayectorias!$K$15:$M$39,MATCH($A32,Trayectorias!$A$15:$A$39,0),$C$5))*Parametros_PV!$C$20</f>
        <v>380.54679630651606</v>
      </c>
      <c r="G32" s="24">
        <f>(Parametros_PV!$C$16*(100/8)^Parametros_PV!$C$33*IF(100&lt;$C$6,INDEX(Trayectorias!$H$15:$J$39,MATCH($A32,Trayectorias!$A$15:$A$39,0),$C$5),INDEX(Trayectorias!$E$15:$G$39,MATCH($A32,Trayectorias!$A$15:$A$39,0),$C$5))+Parametros_PV!$C$17*(100/8)^Parametros_PV!$C$34*INDEX(Trayectorias!$K$15:$M$39,MATCH($A32,Trayectorias!$A$15:$A$39,0),$C$5)+Parametros_PV!$C$18*INDEX(Trayectorias!$K$15:$M$39,MATCH($A32,Trayectorias!$A$15:$A$39,0),$C$5))*Parametros_PV!$C$20</f>
        <v>364.50662322468753</v>
      </c>
      <c r="H32" s="24">
        <f>(Parametros_PV!$C$16*(200/8)^Parametros_PV!$C$33*IF(200&lt;$C$6,INDEX(Trayectorias!$H$15:$J$39,MATCH($A32,Trayectorias!$A$15:$A$39,0),$C$5),INDEX(Trayectorias!$E$15:$G$39,MATCH($A32,Trayectorias!$A$15:$A$39,0),$C$5))+Parametros_PV!$C$17*(200/8)^Parametros_PV!$C$34*INDEX(Trayectorias!$K$15:$M$39,MATCH($A32,Trayectorias!$A$15:$A$39,0),$C$5)+Parametros_PV!$C$18*INDEX(Trayectorias!$K$15:$M$39,MATCH($A32,Trayectorias!$A$15:$A$39,0),$C$5))*Parametros_PV!$C$20</f>
        <v>349.26969313681349</v>
      </c>
    </row>
    <row r="33" spans="1:8" x14ac:dyDescent="0.35">
      <c r="A33" s="32">
        <v>2049</v>
      </c>
      <c r="B33" s="24">
        <f>(Parametros_PV!$C$16*(1/8)^Parametros_PV!$C$33*IF(1&lt;$C$6,INDEX(Trayectorias!$H$15:$J$39,MATCH($A33,Trayectorias!$A$15:$A$39,0),$C$5),INDEX(Trayectorias!$E$15:$G$39,MATCH($A33,Trayectorias!$A$15:$A$39,0),$C$5))+Parametros_PV!$C$17*(1/8)^Parametros_PV!$C$34*INDEX(Trayectorias!$K$15:$M$39,MATCH($A33,Trayectorias!$A$15:$A$39,0),$C$5)+Parametros_PV!$C$18*INDEX(Trayectorias!$K$15:$M$39,MATCH($A33,Trayectorias!$A$15:$A$39,0),$C$5))*Parametros_PV!$C$20</f>
        <v>524.70383276904681</v>
      </c>
      <c r="C33" s="24">
        <f>(Parametros_PV!$C$16*(5/8)^Parametros_PV!$C$33*IF(5&lt;$C$6,INDEX(Trayectorias!$H$15:$J$39,MATCH($A33,Trayectorias!$A$15:$A$39,0),$C$5),INDEX(Trayectorias!$E$15:$G$39,MATCH($A33,Trayectorias!$A$15:$A$39,0),$C$5))+Parametros_PV!$C$17*(5/8)^Parametros_PV!$C$34*INDEX(Trayectorias!$K$15:$M$39,MATCH($A33,Trayectorias!$A$15:$A$39,0),$C$5)+Parametros_PV!$C$18*INDEX(Trayectorias!$K$15:$M$39,MATCH($A33,Trayectorias!$A$15:$A$39,0),$C$5))*Parametros_PV!$C$20</f>
        <v>471.43403929217789</v>
      </c>
      <c r="D33" s="24">
        <f>(Parametros_PV!$C$16*(10/8)^Parametros_PV!$C$33*IF(10&lt;$C$6,INDEX(Trayectorias!$H$15:$J$39,MATCH($A33,Trayectorias!$A$15:$A$39,0),$C$5),INDEX(Trayectorias!$E$15:$G$39,MATCH($A33,Trayectorias!$A$15:$A$39,0),$C$5))+Parametros_PV!$C$17*(10/8)^Parametros_PV!$C$34*INDEX(Trayectorias!$K$15:$M$39,MATCH($A33,Trayectorias!$A$15:$A$39,0),$C$5)+Parametros_PV!$C$18*INDEX(Trayectorias!$K$15:$M$39,MATCH($A33,Trayectorias!$A$15:$A$39,0),$C$5))*Parametros_PV!$C$20</f>
        <v>415.09339345211271</v>
      </c>
      <c r="E33" s="24">
        <f>(Parametros_PV!$C$16*(20/8)^Parametros_PV!$C$33*IF(20&lt;$C$6,INDEX(Trayectorias!$H$15:$J$39,MATCH($A33,Trayectorias!$A$15:$A$39,0),$C$5),INDEX(Trayectorias!$E$15:$G$39,MATCH($A33,Trayectorias!$A$15:$A$39,0),$C$5))+Parametros_PV!$C$17*(20/8)^Parametros_PV!$C$34*INDEX(Trayectorias!$K$15:$M$39,MATCH($A33,Trayectorias!$A$15:$A$39,0),$C$5)+Parametros_PV!$C$18*INDEX(Trayectorias!$K$15:$M$39,MATCH($A33,Trayectorias!$A$15:$A$39,0),$C$5))*Parametros_PV!$C$20</f>
        <v>397.32758964156284</v>
      </c>
      <c r="F33" s="24">
        <f>(Parametros_PV!$C$16*(50/8)^Parametros_PV!$C$33*IF(50&lt;$C$6,INDEX(Trayectorias!$H$15:$J$39,MATCH($A33,Trayectorias!$A$15:$A$39,0),$C$5),INDEX(Trayectorias!$E$15:$G$39,MATCH($A33,Trayectorias!$A$15:$A$39,0),$C$5))+Parametros_PV!$C$17*(50/8)^Parametros_PV!$C$34*INDEX(Trayectorias!$K$15:$M$39,MATCH($A33,Trayectorias!$A$15:$A$39,0),$C$5)+Parametros_PV!$C$18*INDEX(Trayectorias!$K$15:$M$39,MATCH($A33,Trayectorias!$A$15:$A$39,0),$C$5))*Parametros_PV!$C$20</f>
        <v>375.203820981077</v>
      </c>
      <c r="G33" s="24">
        <f>(Parametros_PV!$C$16*(100/8)^Parametros_PV!$C$33*IF(100&lt;$C$6,INDEX(Trayectorias!$H$15:$J$39,MATCH($A33,Trayectorias!$A$15:$A$39,0),$C$5),INDEX(Trayectorias!$E$15:$G$39,MATCH($A33,Trayectorias!$A$15:$A$39,0),$C$5))+Parametros_PV!$C$17*(100/8)^Parametros_PV!$C$34*INDEX(Trayectorias!$K$15:$M$39,MATCH($A33,Trayectorias!$A$15:$A$39,0),$C$5)+Parametros_PV!$C$18*INDEX(Trayectorias!$K$15:$M$39,MATCH($A33,Trayectorias!$A$15:$A$39,0),$C$5))*Parametros_PV!$C$20</f>
        <v>359.43829093314474</v>
      </c>
      <c r="H33" s="24">
        <f>(Parametros_PV!$C$16*(200/8)^Parametros_PV!$C$33*IF(200&lt;$C$6,INDEX(Trayectorias!$H$15:$J$39,MATCH($A33,Trayectorias!$A$15:$A$39,0),$C$5),INDEX(Trayectorias!$E$15:$G$39,MATCH($A33,Trayectorias!$A$15:$A$39,0),$C$5))+Parametros_PV!$C$17*(200/8)^Parametros_PV!$C$34*INDEX(Trayectorias!$K$15:$M$39,MATCH($A33,Trayectorias!$A$15:$A$39,0),$C$5)+Parametros_PV!$C$18*INDEX(Trayectorias!$K$15:$M$39,MATCH($A33,Trayectorias!$A$15:$A$39,0),$C$5))*Parametros_PV!$C$20</f>
        <v>344.46051586293362</v>
      </c>
    </row>
    <row r="34" spans="1:8" x14ac:dyDescent="0.35">
      <c r="A34" s="32">
        <v>2050</v>
      </c>
      <c r="B34" s="24">
        <f>(Parametros_PV!$C$16*(1/8)^Parametros_PV!$C$33*IF(1&lt;$C$6,INDEX(Trayectorias!$H$15:$J$39,MATCH($A34,Trayectorias!$A$15:$A$39,0),$C$5),INDEX(Trayectorias!$E$15:$G$39,MATCH($A34,Trayectorias!$A$15:$A$39,0),$C$5))+Parametros_PV!$C$17*(1/8)^Parametros_PV!$C$34*INDEX(Trayectorias!$K$15:$M$39,MATCH($A34,Trayectorias!$A$15:$A$39,0),$C$5)+Parametros_PV!$C$18*INDEX(Trayectorias!$K$15:$M$39,MATCH($A34,Trayectorias!$A$15:$A$39,0),$C$5))*Parametros_PV!$C$20</f>
        <v>516.10478899249108</v>
      </c>
      <c r="C34" s="24">
        <f>(Parametros_PV!$C$16*(5/8)^Parametros_PV!$C$33*IF(5&lt;$C$6,INDEX(Trayectorias!$H$15:$J$39,MATCH($A34,Trayectorias!$A$15:$A$39,0),$C$5),INDEX(Trayectorias!$E$15:$G$39,MATCH($A34,Trayectorias!$A$15:$A$39,0),$C$5))+Parametros_PV!$C$17*(5/8)^Parametros_PV!$C$34*INDEX(Trayectorias!$K$15:$M$39,MATCH($A34,Trayectorias!$A$15:$A$39,0),$C$5)+Parametros_PV!$C$18*INDEX(Trayectorias!$K$15:$M$39,MATCH($A34,Trayectorias!$A$15:$A$39,0),$C$5))*Parametros_PV!$C$20</f>
        <v>463.87447948984857</v>
      </c>
      <c r="D34" s="24">
        <f>(Parametros_PV!$C$16*(10/8)^Parametros_PV!$C$33*IF(10&lt;$C$6,INDEX(Trayectorias!$H$15:$J$39,MATCH($A34,Trayectorias!$A$15:$A$39,0),$C$5),INDEX(Trayectorias!$E$15:$G$39,MATCH($A34,Trayectorias!$A$15:$A$39,0),$C$5))+Parametros_PV!$C$17*(10/8)^Parametros_PV!$C$34*INDEX(Trayectorias!$K$15:$M$39,MATCH($A34,Trayectorias!$A$15:$A$39,0),$C$5)+Parametros_PV!$C$18*INDEX(Trayectorias!$K$15:$M$39,MATCH($A34,Trayectorias!$A$15:$A$39,0),$C$5))*Parametros_PV!$C$20</f>
        <v>409.17823117554349</v>
      </c>
      <c r="E34" s="24">
        <f>(Parametros_PV!$C$16*(20/8)^Parametros_PV!$C$33*IF(20&lt;$C$6,INDEX(Trayectorias!$H$15:$J$39,MATCH($A34,Trayectorias!$A$15:$A$39,0),$C$5),INDEX(Trayectorias!$E$15:$G$39,MATCH($A34,Trayectorias!$A$15:$A$39,0),$C$5))+Parametros_PV!$C$17*(20/8)^Parametros_PV!$C$34*INDEX(Trayectorias!$K$15:$M$39,MATCH($A34,Trayectorias!$A$15:$A$39,0),$C$5)+Parametros_PV!$C$18*INDEX(Trayectorias!$K$15:$M$39,MATCH($A34,Trayectorias!$A$15:$A$39,0),$C$5))*Parametros_PV!$C$20</f>
        <v>391.71922046754679</v>
      </c>
      <c r="F34" s="24">
        <f>(Parametros_PV!$C$16*(50/8)^Parametros_PV!$C$33*IF(50&lt;$C$6,INDEX(Trayectorias!$H$15:$J$39,MATCH($A34,Trayectorias!$A$15:$A$39,0),$C$5),INDEX(Trayectorias!$E$15:$G$39,MATCH($A34,Trayectorias!$A$15:$A$39,0),$C$5))+Parametros_PV!$C$17*(50/8)^Parametros_PV!$C$34*INDEX(Trayectorias!$K$15:$M$39,MATCH($A34,Trayectorias!$A$15:$A$39,0),$C$5)+Parametros_PV!$C$18*INDEX(Trayectorias!$K$15:$M$39,MATCH($A34,Trayectorias!$A$15:$A$39,0),$C$5))*Parametros_PV!$C$20</f>
        <v>369.97458015160549</v>
      </c>
      <c r="G34" s="24">
        <f>(Parametros_PV!$C$16*(100/8)^Parametros_PV!$C$33*IF(100&lt;$C$6,INDEX(Trayectorias!$H$15:$J$39,MATCH($A34,Trayectorias!$A$15:$A$39,0),$C$5),INDEX(Trayectorias!$E$15:$G$39,MATCH($A34,Trayectorias!$A$15:$A$39,0),$C$5))+Parametros_PV!$C$17*(100/8)^Parametros_PV!$C$34*INDEX(Trayectorias!$K$15:$M$39,MATCH($A34,Trayectorias!$A$15:$A$39,0),$C$5)+Parametros_PV!$C$18*INDEX(Trayectorias!$K$15:$M$39,MATCH($A34,Trayectorias!$A$15:$A$39,0),$C$5))*Parametros_PV!$C$20</f>
        <v>354.47712942302473</v>
      </c>
      <c r="H34" s="24">
        <f>(Parametros_PV!$C$16*(200/8)^Parametros_PV!$C$33*IF(200&lt;$C$6,INDEX(Trayectorias!$H$15:$J$39,MATCH($A34,Trayectorias!$A$15:$A$39,0),$C$5),INDEX(Trayectorias!$E$15:$G$39,MATCH($A34,Trayectorias!$A$15:$A$39,0),$C$5))+Parametros_PV!$C$17*(200/8)^Parametros_PV!$C$34*INDEX(Trayectorias!$K$15:$M$39,MATCH($A34,Trayectorias!$A$15:$A$39,0),$C$5)+Parametros_PV!$C$18*INDEX(Trayectorias!$K$15:$M$39,MATCH($A34,Trayectorias!$A$15:$A$39,0),$C$5))*Parametros_PV!$C$20</f>
        <v>339.75233645008825</v>
      </c>
    </row>
    <row r="36" spans="1:8" ht="21.75" customHeight="1" x14ac:dyDescent="0.35">
      <c r="A36" s="15" t="s">
        <v>216</v>
      </c>
    </row>
  </sheetData>
  <pageMargins left="0.75" right="0.75" top="1" bottom="1" header="0.511811023622047" footer="0.511811023622047"/>
  <pageSetup paperSize="9"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2"/>
  <sheetViews>
    <sheetView showGridLines="0" zoomScaleNormal="100" workbookViewId="0"/>
  </sheetViews>
  <sheetFormatPr baseColWidth="10" defaultColWidth="8.6328125" defaultRowHeight="14.5" x14ac:dyDescent="0.35"/>
  <cols>
    <col min="1" max="1" width="40" customWidth="1"/>
    <col min="2" max="2" width="3" customWidth="1"/>
    <col min="3" max="3" width="18" customWidth="1"/>
  </cols>
  <sheetData>
    <row r="1" spans="1:3" ht="18" x14ac:dyDescent="0.4">
      <c r="A1" s="1" t="s">
        <v>217</v>
      </c>
    </row>
    <row r="2" spans="1:3" x14ac:dyDescent="0.35">
      <c r="A2" s="2" t="s">
        <v>218</v>
      </c>
    </row>
    <row r="4" spans="1:3" x14ac:dyDescent="0.35">
      <c r="A4" s="3" t="s">
        <v>167</v>
      </c>
      <c r="C4" s="37">
        <v>2030</v>
      </c>
    </row>
    <row r="5" spans="1:3" x14ac:dyDescent="0.35">
      <c r="A5" s="3" t="s">
        <v>183</v>
      </c>
      <c r="C5" s="34" t="s">
        <v>184</v>
      </c>
    </row>
    <row r="6" spans="1:3" x14ac:dyDescent="0.35">
      <c r="A6" s="3" t="s">
        <v>219</v>
      </c>
      <c r="C6" s="9">
        <v>20</v>
      </c>
    </row>
    <row r="7" spans="1:3" x14ac:dyDescent="0.35">
      <c r="A7" s="3" t="s">
        <v>220</v>
      </c>
      <c r="C7" s="9">
        <v>40</v>
      </c>
    </row>
    <row r="8" spans="1:3" x14ac:dyDescent="0.35">
      <c r="A8" s="3" t="s">
        <v>221</v>
      </c>
      <c r="C8" s="9">
        <v>4</v>
      </c>
    </row>
    <row r="9" spans="1:3" x14ac:dyDescent="0.35">
      <c r="A9" s="3" t="s">
        <v>222</v>
      </c>
      <c r="C9" s="34" t="s">
        <v>87</v>
      </c>
    </row>
    <row r="10" spans="1:3" x14ac:dyDescent="0.35">
      <c r="A10" s="3" t="s">
        <v>186</v>
      </c>
      <c r="C10" s="8">
        <v>1.05</v>
      </c>
    </row>
    <row r="11" spans="1:3" x14ac:dyDescent="0.35">
      <c r="A11" s="3" t="s">
        <v>223</v>
      </c>
      <c r="C11" s="38">
        <v>0.03</v>
      </c>
    </row>
    <row r="13" spans="1:3" x14ac:dyDescent="0.35">
      <c r="A13" t="s">
        <v>193</v>
      </c>
      <c r="C13" s="32">
        <f>MATCH($C$5,{"Bajo","Medio","Alto"},0)</f>
        <v>2</v>
      </c>
    </row>
    <row r="14" spans="1:3" x14ac:dyDescent="0.35">
      <c r="A14" t="s">
        <v>224</v>
      </c>
      <c r="C14" s="10">
        <f>C7/C8</f>
        <v>10</v>
      </c>
    </row>
    <row r="15" spans="1:3" x14ac:dyDescent="0.35">
      <c r="A15" s="3" t="s">
        <v>225</v>
      </c>
      <c r="C15" s="24">
        <f>(Parametros_PV!$C$16*($C$6/8)^Parametros_PV!$C$33*IF($C$6&lt;Curva_PV!$C$6,INDEX(Trayectorias!$H$15:$J$39,MATCH($C$4,Trayectorias!$A$15:$A$39,0),$C$13),INDEX(Trayectorias!$E$15:$G$39,MATCH($C$4,Trayectorias!$A$15:$A$39,0),$C$13))+Parametros_PV!$C$17*($C$6/8)^Parametros_PV!$C$34*INDEX(Trayectorias!$K$15:$M$39,MATCH($C$4,Trayectorias!$A$15:$A$39,0),$C$13)+Parametros_PV!$C$18*INDEX(Trayectorias!$K$15:$M$39,MATCH($C$4,Trayectorias!$A$15:$A$39,0),$C$13))*Parametros_PV!$C$20</f>
        <v>620.19568948508288</v>
      </c>
    </row>
    <row r="16" spans="1:3" x14ac:dyDescent="0.35">
      <c r="A16" s="3" t="s">
        <v>226</v>
      </c>
      <c r="C16" s="24">
        <f>C15*C6*1000</f>
        <v>12403913.789701657</v>
      </c>
    </row>
    <row r="17" spans="1:3" x14ac:dyDescent="0.35">
      <c r="A17" s="3" t="s">
        <v>227</v>
      </c>
      <c r="C17" s="12">
        <f>(INDEX(Parametros_BESS!$D$5:$D$8,MATCH($C$9,Parametros_BESS!$A$5:$A$8,0))*(1+MAX(0,1/$C$8-Suministro_BESS!$A$13)*Suministro_BESS!$B$13)*$C$10*INDEX(Trayectorias!$B$15:$D$39,MATCH($C$4,Trayectorias!$A$15:$A$39,0),$C$13)+INDEX(Parametros_BESS!$E$5:$E$8,MATCH($C$9,Parametros_BESS!$A$5:$A$8,0))*INDEX(Trayectorias!$K$15:$M$39,MATCH($C$4,Trayectorias!$A$15:$A$39,0),$C$13)+INDEX(Parametros_BESS!$F$5:$F$8,MATCH($C$9,Parametros_BESS!$A$5:$A$8,0))*INDEX(Trayectorias!$K$15:$M$39,MATCH($C$4,Trayectorias!$A$15:$A$39,0),$C$13)/$C$8+INDEX(Parametros_BESS!$G$5:$G$8,MATCH($C$9,Parametros_BESS!$A$5:$A$8,0))*INDEX(Trayectorias!$K$15:$M$39,MATCH($C$4,Trayectorias!$A$15:$A$39,0),$C$13)/($C$7*1000))*(1+INDEX(Parametros_BESS!$H$5:$H$8,MATCH($C$9,Parametros_BESS!$A$5:$A$8,0)))*(1+INDEX(Parametros_BESS!$I$5:$I$8,MATCH($C$9,Parametros_BESS!$A$5:$A$8,0)))/(1-INDEX(Parametros_BESS!$J$5:$J$8,MATCH($C$9,Parametros_BESS!$A$5:$A$8,0)))</f>
        <v>166.13281389059736</v>
      </c>
    </row>
    <row r="18" spans="1:3" x14ac:dyDescent="0.35">
      <c r="A18" s="3" t="s">
        <v>228</v>
      </c>
      <c r="C18" s="24">
        <f>C17*C7*1000</f>
        <v>6645312.5556238946</v>
      </c>
    </row>
    <row r="19" spans="1:3" x14ac:dyDescent="0.35">
      <c r="A19" s="3" t="s">
        <v>229</v>
      </c>
      <c r="C19" s="24">
        <f>C16+C18</f>
        <v>19049226.345325552</v>
      </c>
    </row>
    <row r="20" spans="1:3" x14ac:dyDescent="0.35">
      <c r="A20" s="3" t="s">
        <v>230</v>
      </c>
      <c r="C20" s="24">
        <f>-C19*C11</f>
        <v>-571476.79035976657</v>
      </c>
    </row>
    <row r="21" spans="1:3" x14ac:dyDescent="0.35">
      <c r="A21" s="3" t="s">
        <v>231</v>
      </c>
      <c r="C21" s="29">
        <f>C19+C20</f>
        <v>18477749.554965787</v>
      </c>
    </row>
    <row r="22" spans="1:3" x14ac:dyDescent="0.35">
      <c r="A22" s="3" t="s">
        <v>232</v>
      </c>
      <c r="C22" s="29">
        <f>C21/(C6*1000)</f>
        <v>923.88747774828937</v>
      </c>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showGridLines="0" zoomScaleNormal="100" workbookViewId="0"/>
  </sheetViews>
  <sheetFormatPr baseColWidth="10" defaultColWidth="8.6328125" defaultRowHeight="14.5" x14ac:dyDescent="0.35"/>
  <cols>
    <col min="1" max="1" width="46" customWidth="1"/>
    <col min="2" max="2" width="7" customWidth="1"/>
    <col min="3" max="4" width="12" customWidth="1"/>
    <col min="5" max="5" width="9" customWidth="1"/>
    <col min="6" max="6" width="80" customWidth="1"/>
  </cols>
  <sheetData>
    <row r="1" spans="1:6" ht="18" x14ac:dyDescent="0.4">
      <c r="A1" s="1" t="s">
        <v>233</v>
      </c>
    </row>
    <row r="2" spans="1:6" x14ac:dyDescent="0.35">
      <c r="A2" s="2" t="s">
        <v>234</v>
      </c>
    </row>
    <row r="4" spans="1:6" ht="33.75" customHeight="1" x14ac:dyDescent="0.35">
      <c r="A4" s="5" t="s">
        <v>235</v>
      </c>
      <c r="B4" s="5" t="s">
        <v>167</v>
      </c>
      <c r="C4" s="5" t="s">
        <v>236</v>
      </c>
      <c r="D4" s="5" t="s">
        <v>100</v>
      </c>
      <c r="E4" s="5" t="s">
        <v>237</v>
      </c>
      <c r="F4" s="5" t="s">
        <v>238</v>
      </c>
    </row>
    <row r="5" spans="1:6" ht="54" customHeight="1" x14ac:dyDescent="0.35">
      <c r="A5" s="39" t="s">
        <v>239</v>
      </c>
      <c r="B5" s="40">
        <v>2024</v>
      </c>
      <c r="C5" s="9">
        <v>334</v>
      </c>
      <c r="D5" s="27">
        <f>INDEX(Curva_BESS!$E$19:$E$43,MATCH(2026,Curva_BESS!$A$19:$A$43,0))</f>
        <v>178.60019937593751</v>
      </c>
      <c r="E5" s="25">
        <f>D5/C5-1</f>
        <v>-0.46526886414389967</v>
      </c>
      <c r="F5" s="41" t="s">
        <v>240</v>
      </c>
    </row>
    <row r="6" spans="1:6" ht="54" customHeight="1" x14ac:dyDescent="0.35">
      <c r="A6" s="39" t="s">
        <v>241</v>
      </c>
      <c r="B6" s="40">
        <v>2024</v>
      </c>
      <c r="C6" s="9">
        <v>192</v>
      </c>
      <c r="D6" s="27">
        <f>INDEX(Curva_BESS!$E$19:$E$43,MATCH(2026,Curva_BESS!$A$19:$A$43,0))</f>
        <v>178.60019937593751</v>
      </c>
      <c r="E6" s="25">
        <f>D6/C6-1</f>
        <v>-6.9790628250325448E-2</v>
      </c>
      <c r="F6" s="41" t="s">
        <v>242</v>
      </c>
    </row>
    <row r="7" spans="1:6" ht="54" customHeight="1" x14ac:dyDescent="0.35">
      <c r="A7" s="39" t="s">
        <v>243</v>
      </c>
      <c r="B7" s="40">
        <v>2024</v>
      </c>
      <c r="C7" s="9">
        <v>691</v>
      </c>
      <c r="D7" s="27">
        <f>INDEX(Curva_PV!$G$10:$G$34,MATCH(2026,Curva_PV!$A$10:$A$34,0))</f>
        <v>679.20121469663877</v>
      </c>
      <c r="E7" s="25">
        <f>D7/C7-1</f>
        <v>-1.7074942551897565E-2</v>
      </c>
      <c r="F7" s="41" t="s">
        <v>244</v>
      </c>
    </row>
    <row r="8" spans="1:6" ht="54" customHeight="1" x14ac:dyDescent="0.35">
      <c r="A8" s="39" t="s">
        <v>245</v>
      </c>
      <c r="B8" s="40">
        <v>2024</v>
      </c>
      <c r="C8" s="9">
        <v>240.8</v>
      </c>
      <c r="D8" s="27">
        <f>Parametros_BESS!$D$7*(1+Parametros_BESS!$H$7)*(1+Parametros_BESS!$I$7)/(1-Parametros_BESS!$J$7)</f>
        <v>124.9003175</v>
      </c>
      <c r="E8" s="25">
        <f>D8/C8-1</f>
        <v>-0.48131097383720933</v>
      </c>
      <c r="F8" s="41" t="s">
        <v>246</v>
      </c>
    </row>
    <row r="9" spans="1:6" ht="54" customHeight="1" x14ac:dyDescent="0.35">
      <c r="A9" s="39" t="s">
        <v>247</v>
      </c>
      <c r="B9" s="40">
        <v>2026</v>
      </c>
      <c r="C9" s="9">
        <v>88</v>
      </c>
      <c r="D9" s="27">
        <f>Parametros_BESS!$D$7</f>
        <v>93.4</v>
      </c>
      <c r="E9" s="25">
        <f>D9/C9-1</f>
        <v>6.1363636363636509E-2</v>
      </c>
      <c r="F9" s="41" t="s">
        <v>248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Leeme</vt:lpstr>
      <vt:lpstr>Suministro_BESS</vt:lpstr>
      <vt:lpstr>Parametros_BESS</vt:lpstr>
      <vt:lpstr>Parametros_PV</vt:lpstr>
      <vt:lpstr>Trayectorias</vt:lpstr>
      <vt:lpstr>Curva_BESS</vt:lpstr>
      <vt:lpstr>Curva_PV</vt:lpstr>
      <vt:lpstr>Curva_Hibrido</vt:lpstr>
      <vt:lpstr>Validacion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Barros</dc:creator>
  <dc:description/>
  <cp:lastModifiedBy>Natalia Barros</cp:lastModifiedBy>
  <cp:revision>1</cp:revision>
  <dcterms:created xsi:type="dcterms:W3CDTF">2026-08-28T10:26:53Z</dcterms:created>
  <dcterms:modified xsi:type="dcterms:W3CDTF">2026-08-28T11:08:32Z</dcterms:modified>
  <dc:language>en-US</dc:language>
</cp:coreProperties>
</file>